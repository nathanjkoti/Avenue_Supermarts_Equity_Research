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7.xml"/>
  <Override ContentType="application/vnd.openxmlformats-officedocument.drawingml.chart+xml" PartName="/xl/charts/chart2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26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8.xml"/>
  <Override ContentType="application/vnd.openxmlformats-officedocument.drawingml.chart+xml" PartName="/xl/charts/chart17.xml"/>
  <Override ContentType="application/vnd.openxmlformats-officedocument.drawingml.chart+xml" PartName="/xl/charts/chart25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24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5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5.xml"/>
  <Override ContentType="application/vnd.openxmlformats-officedocument.drawingml.chart+xml" PartName="/xl/charts/chart2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Mart Board Analysis Governance" sheetId="1" r:id="rId5"/>
    <sheet state="visible" name="Relative Stock Performance" sheetId="2" r:id="rId6"/>
    <sheet state="visible" name="Finanacial Summary" sheetId="3" r:id="rId7"/>
    <sheet state="visible" name="Shareholding Analysis" sheetId="4" r:id="rId8"/>
    <sheet state="visible" name="Quarterly Snapshot" sheetId="5" r:id="rId9"/>
    <sheet state="visible" name="Yearly Snapshot" sheetId="6" r:id="rId10"/>
    <sheet state="visible" name="Revenue Analysis" sheetId="7" r:id="rId11"/>
    <sheet state="visible" name="Gross Margin Analysis" sheetId="8" r:id="rId12"/>
    <sheet state="visible" name="EBITDA Margin Analysis" sheetId="9" r:id="rId13"/>
    <sheet state="visible" name="Depreciation Analysis" sheetId="10" r:id="rId14"/>
    <sheet state="visible" name="EBIT Margin Analysis" sheetId="11" r:id="rId15"/>
    <sheet state="visible" name="Peers-Quarterly" sheetId="12" r:id="rId16"/>
    <sheet state="visible" name="Peers-Yearly" sheetId="13" r:id="rId17"/>
    <sheet state="visible" name="Balance Sheet" sheetId="14" r:id="rId18"/>
    <sheet state="visible" name="Fixed Asset Analysis" sheetId="15" r:id="rId19"/>
    <sheet state="visible" name="Inventory Analysis" sheetId="16" r:id="rId20"/>
    <sheet state="visible" name="Peers-Balance Sheets" sheetId="17" r:id="rId21"/>
    <sheet state="visible" name="Trade Payables Analysis" sheetId="18" r:id="rId22"/>
    <sheet state="visible" name="Trade Receivables Analysis" sheetId="19" r:id="rId23"/>
    <sheet state="visible" name="Cash Conversion Cycle Analysis" sheetId="20" r:id="rId24"/>
    <sheet state="visible" name="Cash Flow Analysis" sheetId="21" r:id="rId25"/>
    <sheet state="visible" name="Ratio Analysis" sheetId="22" r:id="rId26"/>
    <sheet state="visible" name="Dupont Equation Analysis - ROE" sheetId="23" r:id="rId27"/>
    <sheet state="visible" name="Dupont Equation Analysis - ROCE" sheetId="24" r:id="rId28"/>
  </sheets>
  <definedNames/>
  <calcPr/>
</workbook>
</file>

<file path=xl/sharedStrings.xml><?xml version="1.0" encoding="utf-8"?>
<sst xmlns="http://schemas.openxmlformats.org/spreadsheetml/2006/main" count="1393" uniqueCount="949">
  <si>
    <t>Name</t>
  </si>
  <si>
    <t>Designation</t>
  </si>
  <si>
    <t>Detailed Educational Qualifications</t>
  </si>
  <si>
    <t>Professional Background</t>
  </si>
  <si>
    <t>Political Connection</t>
  </si>
  <si>
    <t>Negative News</t>
  </si>
  <si>
    <t>Comments / Analyst Insight</t>
  </si>
  <si>
    <t>Chandrashekhar Bhave</t>
  </si>
  <si>
    <t>Chairman &amp; Independent Director</t>
  </si>
  <si>
    <t>M.A.; Alumnus of the 1975 IAS batch.</t>
  </si>
  <si>
    <t>Former SEBI Chairman and NSDL founder; credited with digitizing the Indian stock market.</t>
  </si>
  <si>
    <t>No (Ex-Bureaucrat)</t>
  </si>
  <si>
    <t>No</t>
  </si>
  <si>
    <t>Provides the "Regulatory Shield." His presence ensures absolute compliance with SEBI norms, crucial for an FPI-heavy stock.</t>
  </si>
  <si>
    <t>Anshul Asawa</t>
  </si>
  <si>
    <t>CEO &amp; MD (Effective 2026)</t>
  </si>
  <si>
    <t>B.Tech (Mechanical), IIT Roorkee; PGDM, IIM Lucknow (1995).</t>
  </si>
  <si>
    <t>30-year UNoever veteran; former Country Head (Thailand) and VP Marketing (Europe).</t>
  </si>
  <si>
    <t>The "Growth Catalyst." Hired to modernize DMart’s supply chain and digitize operations to counter the Quick Commerce threat.</t>
  </si>
  <si>
    <t>Ramakant Baheti</t>
  </si>
  <si>
    <t>Group CFO &amp; Whole-time Director</t>
  </si>
  <si>
    <t>B.Com; Chartered Accountant (ICAI); 25+ years in retail finance.</t>
  </si>
  <si>
    <t>A founder-level executive; has been with DMart since its inception in 2000.</t>
  </si>
  <si>
    <t>The "Financial Architect." Known for the strict "Everyday Low Cost" (EDLC) model. He is the bridge between the promoter's vision and public markets.</t>
  </si>
  <si>
    <t>Rita Teaotia</t>
  </si>
  <si>
    <t>Independent Director</t>
  </si>
  <si>
    <t>M.A. (History), University of Lucknow; 1981-batch IAS officer.</t>
  </si>
  <si>
    <t>Former Commerce Secretary of India and Chairperson of FSSAI.</t>
  </si>
  <si>
    <t>Ex-High Ranking Civil Servant</t>
  </si>
  <si>
    <t>Her expertise in food safety (FSSAI) and logistics (Ministry of Commerce) is vital for DMart’s massive grocery and private-label operations.</t>
  </si>
  <si>
    <t>Kalpana Unadkat</t>
  </si>
  <si>
    <t>LL.B. (India); Solicitor (UK/Wales). Senior Partner at Khaitan &amp; Co.</t>
  </si>
  <si>
    <t>Expert in M&amp;A and international corporate governance; former head of Ashurst’s India practice.</t>
  </si>
  <si>
    <t>Ensures "Legal Integrity." Her role is critical for evaluating future acquisitions or joint ventures as DMart scales beyond physical stores.</t>
  </si>
  <si>
    <t>Harischandra M. Bharuka</t>
  </si>
  <si>
    <t>B.Com; ICWA (Institute of Cost Accountants of India).</t>
  </si>
  <si>
    <t>Former MD of Kansai Nerolac Paints; recognized for operational turnarounds.</t>
  </si>
  <si>
    <t>Brings "Operational Efficiency." His background in high-volume manufacturing helps DMart optimize its in-house brand production and warehousing.</t>
  </si>
  <si>
    <t>Manjri Chandak</t>
  </si>
  <si>
    <t>Non-Executive Director</t>
  </si>
  <si>
    <t>B.Com.</t>
  </si>
  <si>
    <t>Representative of the Damani Family (Promoter Group).</t>
  </si>
  <si>
    <t>Family Connection</t>
  </si>
  <si>
    <t>Acts as the "Promoter’s Pulse." Ensures that the board's decisions remain aligned with the long-term, conservative ethos of Radhakishan Damani.</t>
  </si>
  <si>
    <t>Elvin Machado</t>
  </si>
  <si>
    <t>Whole-time Director</t>
  </si>
  <si>
    <t>20+ years at DMart; lead on Real Estate &amp; Expansion strategy.</t>
  </si>
  <si>
    <t>The "Store Builder." DMart owns most of its land/stores; Machado’s expertise in property acquisition is the engine of their low-rent advantage.</t>
  </si>
  <si>
    <t>Date</t>
  </si>
  <si>
    <t>Avenue Supermart</t>
  </si>
  <si>
    <t>NIFTY</t>
  </si>
  <si>
    <t>17-02-2021</t>
  </si>
  <si>
    <t>18-02-2021</t>
  </si>
  <si>
    <t>19-02-2021</t>
  </si>
  <si>
    <t>22-02-2021</t>
  </si>
  <si>
    <t>23-02-2021</t>
  </si>
  <si>
    <t>24-02-2021</t>
  </si>
  <si>
    <t>25-02-2021</t>
  </si>
  <si>
    <t>26-02-2021</t>
  </si>
  <si>
    <t>15-03-2021</t>
  </si>
  <si>
    <t>16-03-2021</t>
  </si>
  <si>
    <t>17-03-2021</t>
  </si>
  <si>
    <t>18-03-2021</t>
  </si>
  <si>
    <t>19-03-2021</t>
  </si>
  <si>
    <t>22-03-2021</t>
  </si>
  <si>
    <t>23-03-2021</t>
  </si>
  <si>
    <t>24-03-2021</t>
  </si>
  <si>
    <t>25-03-2021</t>
  </si>
  <si>
    <t>26-03-2021</t>
  </si>
  <si>
    <t>30-03-2021</t>
  </si>
  <si>
    <t>31-03-2021</t>
  </si>
  <si>
    <t>13-04-2021</t>
  </si>
  <si>
    <t>15-04-2021</t>
  </si>
  <si>
    <t>16-04-2021</t>
  </si>
  <si>
    <t>19-04-2021</t>
  </si>
  <si>
    <t>20-04-2021</t>
  </si>
  <si>
    <t>22-04-2021</t>
  </si>
  <si>
    <t>23-04-2021</t>
  </si>
  <si>
    <t>26-04-2021</t>
  </si>
  <si>
    <t>27-04-2021</t>
  </si>
  <si>
    <t>28-04-2021</t>
  </si>
  <si>
    <t>29-04-2021</t>
  </si>
  <si>
    <t>30-04-2021</t>
  </si>
  <si>
    <t>14-05-2021</t>
  </si>
  <si>
    <t>17-05-2021</t>
  </si>
  <si>
    <t>18-05-2021</t>
  </si>
  <si>
    <t>19-05-2021</t>
  </si>
  <si>
    <t>20-05-2021</t>
  </si>
  <si>
    <t>21-05-2021</t>
  </si>
  <si>
    <t>24-05-2021</t>
  </si>
  <si>
    <t>25-05-2021</t>
  </si>
  <si>
    <t>26-05-2021</t>
  </si>
  <si>
    <t>27-05-2021</t>
  </si>
  <si>
    <t>28-05-2021</t>
  </si>
  <si>
    <t>31-05-2021</t>
  </si>
  <si>
    <t>14-06-2021</t>
  </si>
  <si>
    <t>15-06-2021</t>
  </si>
  <si>
    <t>16-06-2021</t>
  </si>
  <si>
    <t>17-06-2021</t>
  </si>
  <si>
    <t>18-06-2021</t>
  </si>
  <si>
    <t>21-06-2021</t>
  </si>
  <si>
    <t>22-06-2021</t>
  </si>
  <si>
    <t>23-06-2021</t>
  </si>
  <si>
    <t>24-06-2021</t>
  </si>
  <si>
    <t>25-06-2021</t>
  </si>
  <si>
    <t>28-06-2021</t>
  </si>
  <si>
    <t>29-06-2021</t>
  </si>
  <si>
    <t>30-06-2021</t>
  </si>
  <si>
    <t>13-07-2021</t>
  </si>
  <si>
    <t>14-07-2021</t>
  </si>
  <si>
    <t>15-07-2021</t>
  </si>
  <si>
    <t>16-07-2021</t>
  </si>
  <si>
    <t>19-07-2021</t>
  </si>
  <si>
    <t>20-07-2021</t>
  </si>
  <si>
    <t>22-07-2021</t>
  </si>
  <si>
    <t>23-07-2021</t>
  </si>
  <si>
    <t>26-07-2021</t>
  </si>
  <si>
    <t>27-07-2021</t>
  </si>
  <si>
    <t>28-07-2021</t>
  </si>
  <si>
    <t>29-07-2021</t>
  </si>
  <si>
    <t>30-07-2021</t>
  </si>
  <si>
    <t>13-08-2021</t>
  </si>
  <si>
    <t>16-08-2021</t>
  </si>
  <si>
    <t>17-08-2021</t>
  </si>
  <si>
    <t>18-08-2021</t>
  </si>
  <si>
    <t>20-08-2021</t>
  </si>
  <si>
    <t>23-08-2021</t>
  </si>
  <si>
    <t>24-08-2021</t>
  </si>
  <si>
    <t>25-08-2021</t>
  </si>
  <si>
    <t>26-08-2021</t>
  </si>
  <si>
    <t>27-08-2021</t>
  </si>
  <si>
    <t>30-08-2021</t>
  </si>
  <si>
    <t>31-08-2021</t>
  </si>
  <si>
    <t>13-09-2021</t>
  </si>
  <si>
    <t>14-09-2021</t>
  </si>
  <si>
    <t>15-09-2021</t>
  </si>
  <si>
    <t>16-09-2021</t>
  </si>
  <si>
    <t>17-09-2021</t>
  </si>
  <si>
    <t>20-09-2021</t>
  </si>
  <si>
    <t>21-09-2021</t>
  </si>
  <si>
    <t>22-09-2021</t>
  </si>
  <si>
    <t>23-09-2021</t>
  </si>
  <si>
    <t>24-09-2021</t>
  </si>
  <si>
    <t>27-09-2021</t>
  </si>
  <si>
    <t>28-09-2021</t>
  </si>
  <si>
    <t>29-09-2021</t>
  </si>
  <si>
    <t>30-09-2021</t>
  </si>
  <si>
    <t>13-10-2021</t>
  </si>
  <si>
    <t>14-10-2021</t>
  </si>
  <si>
    <t>18-10-2021</t>
  </si>
  <si>
    <t>19-10-2021</t>
  </si>
  <si>
    <t>20-10-2021</t>
  </si>
  <si>
    <t>21-10-2021</t>
  </si>
  <si>
    <t>22-10-2021</t>
  </si>
  <si>
    <t>25-10-2021</t>
  </si>
  <si>
    <t>26-10-2021</t>
  </si>
  <si>
    <t>27-10-2021</t>
  </si>
  <si>
    <t>28-10-2021</t>
  </si>
  <si>
    <t>29-10-2021</t>
  </si>
  <si>
    <t>15-11-2021</t>
  </si>
  <si>
    <t>16-11-2021</t>
  </si>
  <si>
    <t>17-11-2021</t>
  </si>
  <si>
    <t>18-11-2021</t>
  </si>
  <si>
    <t>22-11-2021</t>
  </si>
  <si>
    <t>23-11-2021</t>
  </si>
  <si>
    <t>24-11-2021</t>
  </si>
  <si>
    <t>25-11-2021</t>
  </si>
  <si>
    <t>26-11-2021</t>
  </si>
  <si>
    <t>29-11-2021</t>
  </si>
  <si>
    <t>30-11-2021</t>
  </si>
  <si>
    <t>13-12-2021</t>
  </si>
  <si>
    <t>14-12-2021</t>
  </si>
  <si>
    <t>15-12-2021</t>
  </si>
  <si>
    <t>16-12-2021</t>
  </si>
  <si>
    <t>17-12-2021</t>
  </si>
  <si>
    <t>20-12-2021</t>
  </si>
  <si>
    <t>21-12-2021</t>
  </si>
  <si>
    <t>22-12-2021</t>
  </si>
  <si>
    <t>23-12-2021</t>
  </si>
  <si>
    <t>24-12-2021</t>
  </si>
  <si>
    <t>27-12-2021</t>
  </si>
  <si>
    <t>28-12-2021</t>
  </si>
  <si>
    <t>29-12-2021</t>
  </si>
  <si>
    <t>30-12-2021</t>
  </si>
  <si>
    <t>31-12-2021</t>
  </si>
  <si>
    <t>13-01-2022</t>
  </si>
  <si>
    <t>14-01-2022</t>
  </si>
  <si>
    <t>17-01-2022</t>
  </si>
  <si>
    <t>18-01-2022</t>
  </si>
  <si>
    <t>19-01-2022</t>
  </si>
  <si>
    <t>20-01-2022</t>
  </si>
  <si>
    <t>21-01-2022</t>
  </si>
  <si>
    <t>24-01-2022</t>
  </si>
  <si>
    <t>25-01-2022</t>
  </si>
  <si>
    <t>27-01-2022</t>
  </si>
  <si>
    <t>28-01-2022</t>
  </si>
  <si>
    <t>31-01-2022</t>
  </si>
  <si>
    <t>14-02-2022</t>
  </si>
  <si>
    <t>15-02-2022</t>
  </si>
  <si>
    <t>16-02-2022</t>
  </si>
  <si>
    <t>17-02-2022</t>
  </si>
  <si>
    <t>18-02-2022</t>
  </si>
  <si>
    <t>21-02-2022</t>
  </si>
  <si>
    <t>22-02-2022</t>
  </si>
  <si>
    <t>23-02-2022</t>
  </si>
  <si>
    <t>24-02-2022</t>
  </si>
  <si>
    <t>25-02-2022</t>
  </si>
  <si>
    <t>28-02-2022</t>
  </si>
  <si>
    <t>14-03-2022</t>
  </si>
  <si>
    <t>15-03-2022</t>
  </si>
  <si>
    <t>16-03-2022</t>
  </si>
  <si>
    <t>17-03-2022</t>
  </si>
  <si>
    <t>21-03-2022</t>
  </si>
  <si>
    <t>22-03-2022</t>
  </si>
  <si>
    <t>23-03-2022</t>
  </si>
  <si>
    <t>24-03-2022</t>
  </si>
  <si>
    <t>25-03-2022</t>
  </si>
  <si>
    <t>28-03-2022</t>
  </si>
  <si>
    <t>29-03-2022</t>
  </si>
  <si>
    <t>30-03-2022</t>
  </si>
  <si>
    <t>31-03-2022</t>
  </si>
  <si>
    <t>13-04-2022</t>
  </si>
  <si>
    <t>18-04-2022</t>
  </si>
  <si>
    <t>19-04-2022</t>
  </si>
  <si>
    <t>20-04-2022</t>
  </si>
  <si>
    <t>21-04-2022</t>
  </si>
  <si>
    <t>22-04-2022</t>
  </si>
  <si>
    <t>25-04-2022</t>
  </si>
  <si>
    <t>26-04-2022</t>
  </si>
  <si>
    <t>27-04-2022</t>
  </si>
  <si>
    <t>28-04-2022</t>
  </si>
  <si>
    <t>29-04-2022</t>
  </si>
  <si>
    <t>13-05-2022</t>
  </si>
  <si>
    <t>16-05-2022</t>
  </si>
  <si>
    <t>17-05-2022</t>
  </si>
  <si>
    <t>18-05-2022</t>
  </si>
  <si>
    <t>19-05-2022</t>
  </si>
  <si>
    <t>20-05-2022</t>
  </si>
  <si>
    <t>23-05-2022</t>
  </si>
  <si>
    <t>24-05-2022</t>
  </si>
  <si>
    <t>25-05-2022</t>
  </si>
  <si>
    <t>26-05-2022</t>
  </si>
  <si>
    <t>27-05-2022</t>
  </si>
  <si>
    <t>30-05-2022</t>
  </si>
  <si>
    <t>31-05-2022</t>
  </si>
  <si>
    <t>13-06-2022</t>
  </si>
  <si>
    <t>14-06-2022</t>
  </si>
  <si>
    <t>15-06-2022</t>
  </si>
  <si>
    <t>16-06-2022</t>
  </si>
  <si>
    <t>17-06-2022</t>
  </si>
  <si>
    <t>20-06-2022</t>
  </si>
  <si>
    <t>21-06-2022</t>
  </si>
  <si>
    <t>22-06-2022</t>
  </si>
  <si>
    <t>23-06-2022</t>
  </si>
  <si>
    <t>24-06-2022</t>
  </si>
  <si>
    <t>27-06-2022</t>
  </si>
  <si>
    <t>28-06-2022</t>
  </si>
  <si>
    <t>29-06-2022</t>
  </si>
  <si>
    <t>30-06-2022</t>
  </si>
  <si>
    <t>13-07-2022</t>
  </si>
  <si>
    <t>14-07-2022</t>
  </si>
  <si>
    <t>15-07-2022</t>
  </si>
  <si>
    <t>18-07-2022</t>
  </si>
  <si>
    <t>19-07-2022</t>
  </si>
  <si>
    <t>20-07-2022</t>
  </si>
  <si>
    <t>21-07-2022</t>
  </si>
  <si>
    <t>22-07-2022</t>
  </si>
  <si>
    <t>25-07-2022</t>
  </si>
  <si>
    <t>26-07-2022</t>
  </si>
  <si>
    <t>27-07-2022</t>
  </si>
  <si>
    <t>28-07-2022</t>
  </si>
  <si>
    <t>29-07-2022</t>
  </si>
  <si>
    <t>16-08-2022</t>
  </si>
  <si>
    <t>17-08-2022</t>
  </si>
  <si>
    <t>18-08-2022</t>
  </si>
  <si>
    <t>19-08-2022</t>
  </si>
  <si>
    <t>22-08-2022</t>
  </si>
  <si>
    <t>23-08-2022</t>
  </si>
  <si>
    <t>24-08-2022</t>
  </si>
  <si>
    <t>25-08-2022</t>
  </si>
  <si>
    <t>26-08-2022</t>
  </si>
  <si>
    <t>29-08-2022</t>
  </si>
  <si>
    <t>30-08-2022</t>
  </si>
  <si>
    <t>13-09-2022</t>
  </si>
  <si>
    <t>14-09-2022</t>
  </si>
  <si>
    <t>15-09-2022</t>
  </si>
  <si>
    <t>16-09-2022</t>
  </si>
  <si>
    <t>19-09-2022</t>
  </si>
  <si>
    <t>20-09-2022</t>
  </si>
  <si>
    <t>21-09-2022</t>
  </si>
  <si>
    <t>22-09-2022</t>
  </si>
  <si>
    <t>23-09-2022</t>
  </si>
  <si>
    <t>26-09-2022</t>
  </si>
  <si>
    <t>27-09-2022</t>
  </si>
  <si>
    <t>28-09-2022</t>
  </si>
  <si>
    <t>29-09-2022</t>
  </si>
  <si>
    <t>30-09-2022</t>
  </si>
  <si>
    <t>13-10-2022</t>
  </si>
  <si>
    <t>14-10-2022</t>
  </si>
  <si>
    <t>17-10-2022</t>
  </si>
  <si>
    <t>18-10-2022</t>
  </si>
  <si>
    <t>19-10-2022</t>
  </si>
  <si>
    <t>20-10-2022</t>
  </si>
  <si>
    <t>21-10-2022</t>
  </si>
  <si>
    <t>24-10-2022</t>
  </si>
  <si>
    <t>25-10-2022</t>
  </si>
  <si>
    <t>27-10-2022</t>
  </si>
  <si>
    <t>28-10-2022</t>
  </si>
  <si>
    <t>31-10-2022</t>
  </si>
  <si>
    <t>14-11-2022</t>
  </si>
  <si>
    <t>15-11-2022</t>
  </si>
  <si>
    <t>16-11-2022</t>
  </si>
  <si>
    <t>17-11-2022</t>
  </si>
  <si>
    <t>18-11-2022</t>
  </si>
  <si>
    <t>21-11-2022</t>
  </si>
  <si>
    <t>22-11-2022</t>
  </si>
  <si>
    <t>23-11-2022</t>
  </si>
  <si>
    <t>24-11-2022</t>
  </si>
  <si>
    <t>25-11-2022</t>
  </si>
  <si>
    <t>28-11-2022</t>
  </si>
  <si>
    <t>29-11-2022</t>
  </si>
  <si>
    <t>30-11-2022</t>
  </si>
  <si>
    <t>13-12-2022</t>
  </si>
  <si>
    <t>14-12-2022</t>
  </si>
  <si>
    <t>15-12-2022</t>
  </si>
  <si>
    <t>16-12-2022</t>
  </si>
  <si>
    <t>19-12-2022</t>
  </si>
  <si>
    <t>20-12-2022</t>
  </si>
  <si>
    <t>21-12-2022</t>
  </si>
  <si>
    <t>22-12-2022</t>
  </si>
  <si>
    <t>23-12-2022</t>
  </si>
  <si>
    <t>26-12-2022</t>
  </si>
  <si>
    <t>27-12-2022</t>
  </si>
  <si>
    <t>28-12-2022</t>
  </si>
  <si>
    <t>29-12-2022</t>
  </si>
  <si>
    <t>30-12-2022</t>
  </si>
  <si>
    <t>13-01-2023</t>
  </si>
  <si>
    <t>16-01-2023</t>
  </si>
  <si>
    <t>17-01-2023</t>
  </si>
  <si>
    <t>18-01-2023</t>
  </si>
  <si>
    <t>19-01-2023</t>
  </si>
  <si>
    <t>20-01-2023</t>
  </si>
  <si>
    <t>23-01-2023</t>
  </si>
  <si>
    <t>24-01-2023</t>
  </si>
  <si>
    <t>25-01-2023</t>
  </si>
  <si>
    <t>27-01-2023</t>
  </si>
  <si>
    <t>30-01-2023</t>
  </si>
  <si>
    <t>31-01-2023</t>
  </si>
  <si>
    <t>13-02-2023</t>
  </si>
  <si>
    <t>14-02-2023</t>
  </si>
  <si>
    <t>15-02-2023</t>
  </si>
  <si>
    <t>16-02-2023</t>
  </si>
  <si>
    <t>17-02-2023</t>
  </si>
  <si>
    <t>20-02-2023</t>
  </si>
  <si>
    <t>21-02-2023</t>
  </si>
  <si>
    <t>22-02-2023</t>
  </si>
  <si>
    <t>23-02-2023</t>
  </si>
  <si>
    <t>24-02-2023</t>
  </si>
  <si>
    <t>27-02-2023</t>
  </si>
  <si>
    <t>28-02-2023</t>
  </si>
  <si>
    <t>13-03-2023</t>
  </si>
  <si>
    <t>14-03-2023</t>
  </si>
  <si>
    <t>15-03-2023</t>
  </si>
  <si>
    <t>16-03-2023</t>
  </si>
  <si>
    <t>17-03-2023</t>
  </si>
  <si>
    <t>20-03-2023</t>
  </si>
  <si>
    <t>21-03-2023</t>
  </si>
  <si>
    <t>22-03-2023</t>
  </si>
  <si>
    <t>23-03-2023</t>
  </si>
  <si>
    <t>24-03-2023</t>
  </si>
  <si>
    <t>27-03-2023</t>
  </si>
  <si>
    <t>28-03-2023</t>
  </si>
  <si>
    <t>29-03-2023</t>
  </si>
  <si>
    <t>31-03-2023</t>
  </si>
  <si>
    <t>13-04-2023</t>
  </si>
  <si>
    <t>17-04-2023</t>
  </si>
  <si>
    <t>18-04-2023</t>
  </si>
  <si>
    <t>19-04-2023</t>
  </si>
  <si>
    <t>20-04-2023</t>
  </si>
  <si>
    <t>21-04-2023</t>
  </si>
  <si>
    <t>24-04-2023</t>
  </si>
  <si>
    <t>25-04-2023</t>
  </si>
  <si>
    <t>26-04-2023</t>
  </si>
  <si>
    <t>27-04-2023</t>
  </si>
  <si>
    <t>28-04-2023</t>
  </si>
  <si>
    <t>15-05-2023</t>
  </si>
  <si>
    <t>16-05-2023</t>
  </si>
  <si>
    <t>17-05-2023</t>
  </si>
  <si>
    <t>18-05-2023</t>
  </si>
  <si>
    <t>19-05-2023</t>
  </si>
  <si>
    <t>22-05-2023</t>
  </si>
  <si>
    <t>23-05-2023</t>
  </si>
  <si>
    <t>24-05-2023</t>
  </si>
  <si>
    <t>25-05-2023</t>
  </si>
  <si>
    <t>26-05-2023</t>
  </si>
  <si>
    <t>29-05-2023</t>
  </si>
  <si>
    <t>30-05-2023</t>
  </si>
  <si>
    <t>31-05-2023</t>
  </si>
  <si>
    <t>13-06-2023</t>
  </si>
  <si>
    <t>14-06-2023</t>
  </si>
  <si>
    <t>15-06-2023</t>
  </si>
  <si>
    <t>16-06-2023</t>
  </si>
  <si>
    <t>19-06-2023</t>
  </si>
  <si>
    <t>20-06-2023</t>
  </si>
  <si>
    <t>21-06-2023</t>
  </si>
  <si>
    <t>22-06-2023</t>
  </si>
  <si>
    <t>23-06-2023</t>
  </si>
  <si>
    <t>26-06-2023</t>
  </si>
  <si>
    <t>27-06-2023</t>
  </si>
  <si>
    <t>28-06-2023</t>
  </si>
  <si>
    <t>30-06-2023</t>
  </si>
  <si>
    <t>13-07-2023</t>
  </si>
  <si>
    <t>14-07-2023</t>
  </si>
  <si>
    <t>17-07-2023</t>
  </si>
  <si>
    <t>18-07-2023</t>
  </si>
  <si>
    <t>19-07-2023</t>
  </si>
  <si>
    <t>20-07-2023</t>
  </si>
  <si>
    <t>21-07-2023</t>
  </si>
  <si>
    <t>24-07-2023</t>
  </si>
  <si>
    <t>25-07-2023</t>
  </si>
  <si>
    <t>26-07-2023</t>
  </si>
  <si>
    <t>27-07-2023</t>
  </si>
  <si>
    <t>28-07-2023</t>
  </si>
  <si>
    <t>31-07-2023</t>
  </si>
  <si>
    <t>14-08-2023</t>
  </si>
  <si>
    <t>16-08-2023</t>
  </si>
  <si>
    <t>17-08-2023</t>
  </si>
  <si>
    <t>18-08-2023</t>
  </si>
  <si>
    <t>21-08-2023</t>
  </si>
  <si>
    <t>22-08-2023</t>
  </si>
  <si>
    <t>23-08-2023</t>
  </si>
  <si>
    <t>24-08-2023</t>
  </si>
  <si>
    <t>25-08-2023</t>
  </si>
  <si>
    <t>28-08-2023</t>
  </si>
  <si>
    <t>29-08-2023</t>
  </si>
  <si>
    <t>30-08-2023</t>
  </si>
  <si>
    <t>31-08-2023</t>
  </si>
  <si>
    <t>13-09-2023</t>
  </si>
  <si>
    <t>14-09-2023</t>
  </si>
  <si>
    <t>15-09-2023</t>
  </si>
  <si>
    <t>18-09-2023</t>
  </si>
  <si>
    <t>20-09-2023</t>
  </si>
  <si>
    <t>21-09-2023</t>
  </si>
  <si>
    <t>22-09-2023</t>
  </si>
  <si>
    <t>25-09-2023</t>
  </si>
  <si>
    <t>26-09-2023</t>
  </si>
  <si>
    <t>27-09-2023</t>
  </si>
  <si>
    <t>28-09-2023</t>
  </si>
  <si>
    <t>29-09-2023</t>
  </si>
  <si>
    <t>13-10-2023</t>
  </si>
  <si>
    <t>16-10-2023</t>
  </si>
  <si>
    <t>17-10-2023</t>
  </si>
  <si>
    <t>18-10-2023</t>
  </si>
  <si>
    <t>19-10-2023</t>
  </si>
  <si>
    <t>20-10-2023</t>
  </si>
  <si>
    <t>23-10-2023</t>
  </si>
  <si>
    <t>25-10-2023</t>
  </si>
  <si>
    <t>26-10-2023</t>
  </si>
  <si>
    <t>27-10-2023</t>
  </si>
  <si>
    <t>30-10-2023</t>
  </si>
  <si>
    <t>31-10-2023</t>
  </si>
  <si>
    <t>13-11-2023</t>
  </si>
  <si>
    <t>15-11-2023</t>
  </si>
  <si>
    <t>16-11-2023</t>
  </si>
  <si>
    <t>17-11-2023</t>
  </si>
  <si>
    <t>20-11-2023</t>
  </si>
  <si>
    <t>21-11-2023</t>
  </si>
  <si>
    <t>22-11-2023</t>
  </si>
  <si>
    <t>23-11-2023</t>
  </si>
  <si>
    <t>24-11-2023</t>
  </si>
  <si>
    <t>28-11-2023</t>
  </si>
  <si>
    <t>29-11-2023</t>
  </si>
  <si>
    <t>30-11-2023</t>
  </si>
  <si>
    <t>13-12-2023</t>
  </si>
  <si>
    <t>14-12-2023</t>
  </si>
  <si>
    <t>15-12-2023</t>
  </si>
  <si>
    <t>18-12-2023</t>
  </si>
  <si>
    <t>19-12-2023</t>
  </si>
  <si>
    <t>20-12-2023</t>
  </si>
  <si>
    <t>21-12-2023</t>
  </si>
  <si>
    <t>22-12-2023</t>
  </si>
  <si>
    <t>26-12-2023</t>
  </si>
  <si>
    <t>27-12-2023</t>
  </si>
  <si>
    <t>28-12-2023</t>
  </si>
  <si>
    <t>29-12-2023</t>
  </si>
  <si>
    <t>15-01-2024</t>
  </si>
  <si>
    <t>16-01-2024</t>
  </si>
  <si>
    <t>17-01-2024</t>
  </si>
  <si>
    <t>18-01-2024</t>
  </si>
  <si>
    <t>19-01-2024</t>
  </si>
  <si>
    <t>20-01-2024</t>
  </si>
  <si>
    <t>23-01-2024</t>
  </si>
  <si>
    <t>24-01-2024</t>
  </si>
  <si>
    <t>25-01-2024</t>
  </si>
  <si>
    <t>29-01-2024</t>
  </si>
  <si>
    <t>30-01-2024</t>
  </si>
  <si>
    <t>31-01-2024</t>
  </si>
  <si>
    <t>13-02-2024</t>
  </si>
  <si>
    <t>14-02-2024</t>
  </si>
  <si>
    <t>15-02-2024</t>
  </si>
  <si>
    <t>16-02-2024</t>
  </si>
  <si>
    <t>19-02-2024</t>
  </si>
  <si>
    <t>20-02-2024</t>
  </si>
  <si>
    <t>21-02-2024</t>
  </si>
  <si>
    <t>22-02-2024</t>
  </si>
  <si>
    <t>23-02-2024</t>
  </si>
  <si>
    <t>26-02-2024</t>
  </si>
  <si>
    <t>27-02-2024</t>
  </si>
  <si>
    <t>28-02-2024</t>
  </si>
  <si>
    <t>29-02-2024</t>
  </si>
  <si>
    <t>13-03-2024</t>
  </si>
  <si>
    <t>14-03-2024</t>
  </si>
  <si>
    <t>15-03-2024</t>
  </si>
  <si>
    <t>18-03-2024</t>
  </si>
  <si>
    <t>19-03-2024</t>
  </si>
  <si>
    <t>20-03-2024</t>
  </si>
  <si>
    <t>21-03-2024</t>
  </si>
  <si>
    <t>22-03-2024</t>
  </si>
  <si>
    <t>26-03-2024</t>
  </si>
  <si>
    <t>27-03-2024</t>
  </si>
  <si>
    <t>28-03-2024</t>
  </si>
  <si>
    <t>15-04-2024</t>
  </si>
  <si>
    <t>16-04-2024</t>
  </si>
  <si>
    <t>18-04-2024</t>
  </si>
  <si>
    <t>19-04-2024</t>
  </si>
  <si>
    <t>22-04-2024</t>
  </si>
  <si>
    <t>23-04-2024</t>
  </si>
  <si>
    <t>24-04-2024</t>
  </si>
  <si>
    <t>25-04-2024</t>
  </si>
  <si>
    <t>26-04-2024</t>
  </si>
  <si>
    <t>29-04-2024</t>
  </si>
  <si>
    <t>30-04-2024</t>
  </si>
  <si>
    <t>13-05-2024</t>
  </si>
  <si>
    <t>14-05-2024</t>
  </si>
  <si>
    <t>15-05-2024</t>
  </si>
  <si>
    <t>16-05-2024</t>
  </si>
  <si>
    <t>17-05-2024</t>
  </si>
  <si>
    <t>18-05-2024</t>
  </si>
  <si>
    <t>21-05-2024</t>
  </si>
  <si>
    <t>22-05-2024</t>
  </si>
  <si>
    <t>23-05-2024</t>
  </si>
  <si>
    <t>24-05-2024</t>
  </si>
  <si>
    <t>27-05-2024</t>
  </si>
  <si>
    <t>28-05-2024</t>
  </si>
  <si>
    <t>29-05-2024</t>
  </si>
  <si>
    <t>30-05-2024</t>
  </si>
  <si>
    <t>31-05-2024</t>
  </si>
  <si>
    <t>13-06-2024</t>
  </si>
  <si>
    <t>14-06-2024</t>
  </si>
  <si>
    <t>18-06-2024</t>
  </si>
  <si>
    <t>19-06-2024</t>
  </si>
  <si>
    <t>20-06-2024</t>
  </si>
  <si>
    <t>21-06-2024</t>
  </si>
  <si>
    <t>24-06-2024</t>
  </si>
  <si>
    <t>25-06-2024</t>
  </si>
  <si>
    <t>26-06-2024</t>
  </si>
  <si>
    <t>27-06-2024</t>
  </si>
  <si>
    <t>28-06-2024</t>
  </si>
  <si>
    <t>15-07-2024</t>
  </si>
  <si>
    <t>16-07-2024</t>
  </si>
  <si>
    <t>18-07-2024</t>
  </si>
  <si>
    <t>19-07-2024</t>
  </si>
  <si>
    <t>22-07-2024</t>
  </si>
  <si>
    <t>23-07-2024</t>
  </si>
  <si>
    <t>24-07-2024</t>
  </si>
  <si>
    <t>25-07-2024</t>
  </si>
  <si>
    <t>26-07-2024</t>
  </si>
  <si>
    <t>29-07-2024</t>
  </si>
  <si>
    <t>30-07-2024</t>
  </si>
  <si>
    <t>31-07-2024</t>
  </si>
  <si>
    <t>13-08-2024</t>
  </si>
  <si>
    <t>14-08-2024</t>
  </si>
  <si>
    <t>16-08-2024</t>
  </si>
  <si>
    <t>19-08-2024</t>
  </si>
  <si>
    <t>20-08-2024</t>
  </si>
  <si>
    <t>21-08-2024</t>
  </si>
  <si>
    <t>22-08-2024</t>
  </si>
  <si>
    <t>23-08-2024</t>
  </si>
  <si>
    <t>26-08-2024</t>
  </si>
  <si>
    <t>27-08-2024</t>
  </si>
  <si>
    <t>28-08-2024</t>
  </si>
  <si>
    <t>29-08-2024</t>
  </si>
  <si>
    <t>30-08-2024</t>
  </si>
  <si>
    <t>13-09-2024</t>
  </si>
  <si>
    <t>16-09-2024</t>
  </si>
  <si>
    <t>17-09-2024</t>
  </si>
  <si>
    <t>18-09-2024</t>
  </si>
  <si>
    <t>19-09-2024</t>
  </si>
  <si>
    <t>20-09-2024</t>
  </si>
  <si>
    <t>23-09-2024</t>
  </si>
  <si>
    <t>24-09-2024</t>
  </si>
  <si>
    <t>25-09-2024</t>
  </si>
  <si>
    <t>26-09-2024</t>
  </si>
  <si>
    <t>27-09-2024</t>
  </si>
  <si>
    <t>30-09-2024</t>
  </si>
  <si>
    <t>14-10-2024</t>
  </si>
  <si>
    <t>15-10-2024</t>
  </si>
  <si>
    <t>16-10-2024</t>
  </si>
  <si>
    <t>17-10-2024</t>
  </si>
  <si>
    <t>18-10-2024</t>
  </si>
  <si>
    <t>21-10-2024</t>
  </si>
  <si>
    <t>22-10-2024</t>
  </si>
  <si>
    <t>23-10-2024</t>
  </si>
  <si>
    <t>24-10-2024</t>
  </si>
  <si>
    <t>25-10-2024</t>
  </si>
  <si>
    <t>28-10-2024</t>
  </si>
  <si>
    <t>29-10-2024</t>
  </si>
  <si>
    <t>30-10-2024</t>
  </si>
  <si>
    <t>31-10-2024</t>
  </si>
  <si>
    <t>13-11-2024</t>
  </si>
  <si>
    <t>14-11-2024</t>
  </si>
  <si>
    <t>18-11-2024</t>
  </si>
  <si>
    <t>19-11-2024</t>
  </si>
  <si>
    <t>21-11-2024</t>
  </si>
  <si>
    <t>22-11-2024</t>
  </si>
  <si>
    <t>25-11-2024</t>
  </si>
  <si>
    <t>26-11-2024</t>
  </si>
  <si>
    <t>27-11-2024</t>
  </si>
  <si>
    <t>28-11-2024</t>
  </si>
  <si>
    <t>29-11-2024</t>
  </si>
  <si>
    <t>13-12-2024</t>
  </si>
  <si>
    <t>16-12-2024</t>
  </si>
  <si>
    <t>17-12-2024</t>
  </si>
  <si>
    <t>18-12-2024</t>
  </si>
  <si>
    <t>19-12-2024</t>
  </si>
  <si>
    <t>20-12-2024</t>
  </si>
  <si>
    <t>23-12-2024</t>
  </si>
  <si>
    <t>24-12-2024</t>
  </si>
  <si>
    <t>26-12-2024</t>
  </si>
  <si>
    <t>27-12-2024</t>
  </si>
  <si>
    <t>30-12-2024</t>
  </si>
  <si>
    <t>31-12-2024</t>
  </si>
  <si>
    <t>13-01-2025</t>
  </si>
  <si>
    <t>14-01-2025</t>
  </si>
  <si>
    <t>15-01-2025</t>
  </si>
  <si>
    <t>16-01-2025</t>
  </si>
  <si>
    <t>17-01-2025</t>
  </si>
  <si>
    <t>20-01-2025</t>
  </si>
  <si>
    <t>21-01-2025</t>
  </si>
  <si>
    <t>22-01-2025</t>
  </si>
  <si>
    <t>23-01-2025</t>
  </si>
  <si>
    <t>24-01-2025</t>
  </si>
  <si>
    <t>27-01-2025</t>
  </si>
  <si>
    <t>28-01-2025</t>
  </si>
  <si>
    <t>29-01-2025</t>
  </si>
  <si>
    <t>30-01-2025</t>
  </si>
  <si>
    <t>31-01-2025</t>
  </si>
  <si>
    <t>13-02-2025</t>
  </si>
  <si>
    <t>14-02-2025</t>
  </si>
  <si>
    <t>17-02-2025</t>
  </si>
  <si>
    <t>18-02-2025</t>
  </si>
  <si>
    <t>19-02-2025</t>
  </si>
  <si>
    <t>20-02-2025</t>
  </si>
  <si>
    <t>21-02-2025</t>
  </si>
  <si>
    <t>24-02-2025</t>
  </si>
  <si>
    <t>25-02-2025</t>
  </si>
  <si>
    <t>27-02-2025</t>
  </si>
  <si>
    <t>28-02-2025</t>
  </si>
  <si>
    <t>13-03-2025</t>
  </si>
  <si>
    <t>17-03-2025</t>
  </si>
  <si>
    <t>18-03-2025</t>
  </si>
  <si>
    <t>19-03-2025</t>
  </si>
  <si>
    <t>20-03-2025</t>
  </si>
  <si>
    <t>21-03-2025</t>
  </si>
  <si>
    <t>24-03-2025</t>
  </si>
  <si>
    <t>25-03-2025</t>
  </si>
  <si>
    <t>26-03-2025</t>
  </si>
  <si>
    <t>27-03-2025</t>
  </si>
  <si>
    <t>28-03-2025</t>
  </si>
  <si>
    <t>15-04-2025</t>
  </si>
  <si>
    <t>16-04-2025</t>
  </si>
  <si>
    <t>17-04-2025</t>
  </si>
  <si>
    <t>21-04-2025</t>
  </si>
  <si>
    <t>22-04-2025</t>
  </si>
  <si>
    <t>23-04-2025</t>
  </si>
  <si>
    <t>24-04-2025</t>
  </si>
  <si>
    <t>25-04-2025</t>
  </si>
  <si>
    <t>28-04-2025</t>
  </si>
  <si>
    <t>29-04-2025</t>
  </si>
  <si>
    <t>30-04-2025</t>
  </si>
  <si>
    <t>13-05-2025</t>
  </si>
  <si>
    <t>14-05-2025</t>
  </si>
  <si>
    <t>15-05-2025</t>
  </si>
  <si>
    <t>16-05-2025</t>
  </si>
  <si>
    <t>19-05-2025</t>
  </si>
  <si>
    <t>20-05-2025</t>
  </si>
  <si>
    <t>21-05-2025</t>
  </si>
  <si>
    <t>22-05-2025</t>
  </si>
  <si>
    <t>23-05-2025</t>
  </si>
  <si>
    <t>26-05-2025</t>
  </si>
  <si>
    <t>27-05-2025</t>
  </si>
  <si>
    <t>28-05-2025</t>
  </si>
  <si>
    <t>29-05-2025</t>
  </si>
  <si>
    <t>30-05-2025</t>
  </si>
  <si>
    <t>13-06-2025</t>
  </si>
  <si>
    <t>16-06-2025</t>
  </si>
  <si>
    <t>17-06-2025</t>
  </si>
  <si>
    <t>18-06-2025</t>
  </si>
  <si>
    <t>19-06-2025</t>
  </si>
  <si>
    <t>20-06-2025</t>
  </si>
  <si>
    <t>23-06-2025</t>
  </si>
  <si>
    <t>24-06-2025</t>
  </si>
  <si>
    <t>25-06-2025</t>
  </si>
  <si>
    <t>26-06-2025</t>
  </si>
  <si>
    <t>27-06-2025</t>
  </si>
  <si>
    <t>30-06-2025</t>
  </si>
  <si>
    <t>14-07-2025</t>
  </si>
  <si>
    <t>15-07-2025</t>
  </si>
  <si>
    <t>16-07-2025</t>
  </si>
  <si>
    <t>17-07-2025</t>
  </si>
  <si>
    <t>18-07-2025</t>
  </si>
  <si>
    <t>21-07-2025</t>
  </si>
  <si>
    <t>22-07-2025</t>
  </si>
  <si>
    <t>23-07-2025</t>
  </si>
  <si>
    <t>24-07-2025</t>
  </si>
  <si>
    <t>25-07-2025</t>
  </si>
  <si>
    <t>28-07-2025</t>
  </si>
  <si>
    <t>29-07-2025</t>
  </si>
  <si>
    <t>30-07-2025</t>
  </si>
  <si>
    <t>31-07-2025</t>
  </si>
  <si>
    <t>13-08-2025</t>
  </si>
  <si>
    <t>14-08-2025</t>
  </si>
  <si>
    <t>18-08-2025</t>
  </si>
  <si>
    <t>19-08-2025</t>
  </si>
  <si>
    <t>20-08-2025</t>
  </si>
  <si>
    <t>21-08-2025</t>
  </si>
  <si>
    <t>22-08-2025</t>
  </si>
  <si>
    <t>25-08-2025</t>
  </si>
  <si>
    <t>26-08-2025</t>
  </si>
  <si>
    <t>28-08-2025</t>
  </si>
  <si>
    <t>29-08-2025</t>
  </si>
  <si>
    <t>15-09-2025</t>
  </si>
  <si>
    <t>16-09-2025</t>
  </si>
  <si>
    <t>17-09-2025</t>
  </si>
  <si>
    <t>18-09-2025</t>
  </si>
  <si>
    <t>19-09-2025</t>
  </si>
  <si>
    <t>22-09-2025</t>
  </si>
  <si>
    <t>23-09-2025</t>
  </si>
  <si>
    <t>24-09-2025</t>
  </si>
  <si>
    <t>25-09-2025</t>
  </si>
  <si>
    <t>26-09-2025</t>
  </si>
  <si>
    <t>29-09-2025</t>
  </si>
  <si>
    <t>30-09-2025</t>
  </si>
  <si>
    <t>13-10-2025</t>
  </si>
  <si>
    <t>14-10-2025</t>
  </si>
  <si>
    <t>15-10-2025</t>
  </si>
  <si>
    <t>16-10-2025</t>
  </si>
  <si>
    <t>17-10-2025</t>
  </si>
  <si>
    <t>20-10-2025</t>
  </si>
  <si>
    <t>21-10-2025</t>
  </si>
  <si>
    <t>23-10-2025</t>
  </si>
  <si>
    <t>24-10-2025</t>
  </si>
  <si>
    <t>27-10-2025</t>
  </si>
  <si>
    <t>28-10-2025</t>
  </si>
  <si>
    <t>29-10-2025</t>
  </si>
  <si>
    <t>30-10-2025</t>
  </si>
  <si>
    <t>31-10-2025</t>
  </si>
  <si>
    <t>13-11-2025</t>
  </si>
  <si>
    <t>14-11-2025</t>
  </si>
  <si>
    <t>17-11-2025</t>
  </si>
  <si>
    <t>18-11-2025</t>
  </si>
  <si>
    <t>19-11-2025</t>
  </si>
  <si>
    <t>20-11-2025</t>
  </si>
  <si>
    <t>21-11-2025</t>
  </si>
  <si>
    <t>24-11-2025</t>
  </si>
  <si>
    <t>25-11-2025</t>
  </si>
  <si>
    <t>26-11-2025</t>
  </si>
  <si>
    <t>27-11-2025</t>
  </si>
  <si>
    <t>28-11-2025</t>
  </si>
  <si>
    <t>15-12-2025</t>
  </si>
  <si>
    <t>16-12-2025</t>
  </si>
  <si>
    <t>17-12-2025</t>
  </si>
  <si>
    <t>18-12-2025</t>
  </si>
  <si>
    <t>19-12-2025</t>
  </si>
  <si>
    <t>22-12-2025</t>
  </si>
  <si>
    <t>23-12-2025</t>
  </si>
  <si>
    <t>24-12-2025</t>
  </si>
  <si>
    <t>26-12-2025</t>
  </si>
  <si>
    <t>29-12-2025</t>
  </si>
  <si>
    <t>30-12-2025</t>
  </si>
  <si>
    <t>31-12-2025</t>
  </si>
  <si>
    <t>13-01-2026</t>
  </si>
  <si>
    <t>14-01-2026</t>
  </si>
  <si>
    <t>16-01-2026</t>
  </si>
  <si>
    <t>19-01-2026</t>
  </si>
  <si>
    <t>20-01-2026</t>
  </si>
  <si>
    <t>21-01-2026</t>
  </si>
  <si>
    <t>22-01-2026</t>
  </si>
  <si>
    <t>23-01-2026</t>
  </si>
  <si>
    <t>27-01-2026</t>
  </si>
  <si>
    <t>28-01-2026</t>
  </si>
  <si>
    <t>29-01-2026</t>
  </si>
  <si>
    <t>30-01-2026</t>
  </si>
  <si>
    <t>13-02-2026</t>
  </si>
  <si>
    <t>Particulars</t>
  </si>
  <si>
    <t>Revenue from Operations</t>
  </si>
  <si>
    <t>YoY Growth (%)</t>
  </si>
  <si>
    <t>EBITDA</t>
  </si>
  <si>
    <t>EBITDA Margin</t>
  </si>
  <si>
    <t>PAT</t>
  </si>
  <si>
    <t>PAT Growth</t>
  </si>
  <si>
    <t>EPS</t>
  </si>
  <si>
    <t>Promoters</t>
  </si>
  <si>
    <t>FIIs</t>
  </si>
  <si>
    <t>Mutual Funds</t>
  </si>
  <si>
    <t>Banks and Insurance</t>
  </si>
  <si>
    <t>Other</t>
  </si>
  <si>
    <t>DIIs</t>
  </si>
  <si>
    <t>Resident Individuals</t>
  </si>
  <si>
    <t>Non-Resident Indians</t>
  </si>
  <si>
    <t>Bodies Corporate</t>
  </si>
  <si>
    <t>Ignatius Navil Noronha</t>
  </si>
  <si>
    <t>Others</t>
  </si>
  <si>
    <t>Total Non-Institution (Public)</t>
  </si>
  <si>
    <t>Grand Total</t>
  </si>
  <si>
    <t>QoQ Growth (%)</t>
  </si>
  <si>
    <t>Expenses</t>
  </si>
  <si>
    <t>(-) Depreciation</t>
  </si>
  <si>
    <t>EBIT</t>
  </si>
  <si>
    <t>EBIT Margin</t>
  </si>
  <si>
    <t>(-) Finance Cost</t>
  </si>
  <si>
    <t>EBT</t>
  </si>
  <si>
    <t>(+) Other Income</t>
  </si>
  <si>
    <t>PBT</t>
  </si>
  <si>
    <t>(-) Taxes</t>
  </si>
  <si>
    <t>COGS</t>
  </si>
  <si>
    <t>Gross Profit</t>
  </si>
  <si>
    <t>Gross Margin</t>
  </si>
  <si>
    <t>EBITDA YoY Growth</t>
  </si>
  <si>
    <t>2 per. Mov. Avg. (EBITDA Yoy Growth)</t>
  </si>
  <si>
    <t>Fixed Assets</t>
  </si>
  <si>
    <t>Fixed Assets (%) Growth</t>
  </si>
  <si>
    <t>Fixed Assets as a % of Rev.</t>
  </si>
  <si>
    <t>Depreciation</t>
  </si>
  <si>
    <t>Depreciation (%) Growth</t>
  </si>
  <si>
    <t>Depreciation as a % of Rev.</t>
  </si>
  <si>
    <t>Depreciation as a % of Fixed Assets</t>
  </si>
  <si>
    <t>Gross Block</t>
  </si>
  <si>
    <t>Accumulated Depreciation</t>
  </si>
  <si>
    <t>Net Block</t>
  </si>
  <si>
    <t>Depreciation of the year</t>
  </si>
  <si>
    <t>% Dep.</t>
  </si>
  <si>
    <t>Avgerage Life of Asset</t>
  </si>
  <si>
    <t>Average Age of Asset</t>
  </si>
  <si>
    <t>Change in Revenue</t>
  </si>
  <si>
    <t>Change in Fixed Assets</t>
  </si>
  <si>
    <t>Change in Revenue / Change in Fixed Assets</t>
  </si>
  <si>
    <t>Reliance Retail</t>
  </si>
  <si>
    <t>Gross Profit Margin</t>
  </si>
  <si>
    <t>Other Expenses</t>
  </si>
  <si>
    <t>Vishal Mega Mart</t>
  </si>
  <si>
    <t>Mar, 2021</t>
  </si>
  <si>
    <t>Mar, 2022</t>
  </si>
  <si>
    <t>Mar, 2023</t>
  </si>
  <si>
    <t>Mar, 2024</t>
  </si>
  <si>
    <t>Mar 2025</t>
  </si>
  <si>
    <t>V Mart</t>
  </si>
  <si>
    <t>Equity Capital</t>
  </si>
  <si>
    <t>Reserves</t>
  </si>
  <si>
    <t>Borrowings</t>
  </si>
  <si>
    <t>Trade Payables</t>
  </si>
  <si>
    <t>Other Liabilities</t>
  </si>
  <si>
    <t>Total Liabilities</t>
  </si>
  <si>
    <t>Current Liabilities</t>
  </si>
  <si>
    <t>Capital Employed</t>
  </si>
  <si>
    <t>CWIP</t>
  </si>
  <si>
    <t>Right-of-Use Assets</t>
  </si>
  <si>
    <t>-</t>
  </si>
  <si>
    <t>Other Non-Current Assets</t>
  </si>
  <si>
    <t>Total Shareholders' Equity</t>
  </si>
  <si>
    <t>Investments</t>
  </si>
  <si>
    <t>Inventory</t>
  </si>
  <si>
    <t>Trade Receivables</t>
  </si>
  <si>
    <t>Cash &amp; Bank</t>
  </si>
  <si>
    <t>Other Financial Assets</t>
  </si>
  <si>
    <t>Other Assets</t>
  </si>
  <si>
    <t>Total Assets</t>
  </si>
  <si>
    <t>Current Assets</t>
  </si>
  <si>
    <t>Land</t>
  </si>
  <si>
    <t>Buildings</t>
  </si>
  <si>
    <t>Plant &amp; Equipment</t>
  </si>
  <si>
    <t>Furniture &amp; Fixtures</t>
  </si>
  <si>
    <t>Vehicles</t>
  </si>
  <si>
    <t>Other Fixed Assets</t>
  </si>
  <si>
    <t>Change in Gross Block</t>
  </si>
  <si>
    <t>% Change in Gross Block</t>
  </si>
  <si>
    <t>Change in Revenue / 
Change in Gross Block</t>
  </si>
  <si>
    <t>Fixed Asset Turnover Ratio</t>
  </si>
  <si>
    <t>Rev. Growth %</t>
  </si>
  <si>
    <t>Inventory Growth %</t>
  </si>
  <si>
    <t>Inventory as a % of COGS</t>
  </si>
  <si>
    <t>Average Inventory</t>
  </si>
  <si>
    <t>Inventory Turnover Ratio</t>
  </si>
  <si>
    <t>Inventory Days</t>
  </si>
  <si>
    <t>Year</t>
  </si>
  <si>
    <t>Vishal Mega Marts</t>
  </si>
  <si>
    <t>Avenue Supermarts</t>
  </si>
  <si>
    <t>Payables Growth %</t>
  </si>
  <si>
    <t>Payables as a % of Rev.</t>
  </si>
  <si>
    <t>Payables as a % of COGS</t>
  </si>
  <si>
    <t>Average Payables</t>
  </si>
  <si>
    <t>Payable Turnover Ratio</t>
  </si>
  <si>
    <t>Payable Days</t>
  </si>
  <si>
    <t>Receivables as a % of Rev.</t>
  </si>
  <si>
    <t>Average Receivables</t>
  </si>
  <si>
    <t>Recievables Turnover Ratio</t>
  </si>
  <si>
    <t>Recievables Days</t>
  </si>
  <si>
    <t>Cash Conversion Cycle</t>
  </si>
  <si>
    <t>Cash Flow from Operations</t>
  </si>
  <si>
    <t>Cash Flow from Investing</t>
  </si>
  <si>
    <t>Cash Flow from Financing</t>
  </si>
  <si>
    <t>Growth % of CFO</t>
  </si>
  <si>
    <t>Net Cash Flow</t>
  </si>
  <si>
    <t>CFO/Rev.</t>
  </si>
  <si>
    <t>Capex</t>
  </si>
  <si>
    <t>CFO/EBITDA</t>
  </si>
  <si>
    <t>CFO/PAT</t>
  </si>
  <si>
    <t>Free Cash Flow</t>
  </si>
  <si>
    <t>CFO as a % of PAT</t>
  </si>
  <si>
    <t>Profitability Ratios</t>
  </si>
  <si>
    <t>PAT Margin</t>
  </si>
  <si>
    <t>PBT Margin</t>
  </si>
  <si>
    <t>Price</t>
  </si>
  <si>
    <t>Return Ratios</t>
  </si>
  <si>
    <t>Return on Equity</t>
  </si>
  <si>
    <t>Return on Assets</t>
  </si>
  <si>
    <t>Return on Capital Employed</t>
  </si>
  <si>
    <t>Interest Coverage Ratio</t>
  </si>
  <si>
    <t>Leverage Ratios</t>
  </si>
  <si>
    <t>Reilance Retail</t>
  </si>
  <si>
    <t>Current Ratio</t>
  </si>
  <si>
    <t>Debt to Equity Ratio</t>
  </si>
  <si>
    <t>Valuation Ratios</t>
  </si>
  <si>
    <t>Price / Earnings Ratio</t>
  </si>
  <si>
    <t>EV / EBITDA</t>
  </si>
  <si>
    <t>Price / Book Value Ratio</t>
  </si>
  <si>
    <t>Price / Sales Ratio</t>
  </si>
  <si>
    <t>Equity</t>
  </si>
  <si>
    <t>Average Shareholders' Equity</t>
  </si>
  <si>
    <t>Dupont Equation Return on Equity</t>
  </si>
  <si>
    <t>Net Profit Margin (A)</t>
  </si>
  <si>
    <t>Average Total Asset</t>
  </si>
  <si>
    <t>Asset Turnover Ratio (B)</t>
  </si>
  <si>
    <t>Financial Leverage (C)</t>
  </si>
  <si>
    <t>Return on Equity (A*B*C)</t>
  </si>
  <si>
    <t>Dupont Equation - Return on Capital Employed</t>
  </si>
  <si>
    <t>EBIT Margin (A)</t>
  </si>
  <si>
    <t>Capital Turnover Ratio (B)</t>
  </si>
  <si>
    <t>Return on Capital Employed (A*B)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</si>
</sst>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mmm, yyyy"/>
    <numFmt numFmtId="166" formatCode="mmm yyyy"/>
    <numFmt numFmtId="167" formatCode="mmm&quot;, &quot;yyyy"/>
  </numFmts>
  <fonts count="26">
    <font>
      <sz val="10.0"/>
      <color rgb="FF000000"/>
      <name val="Arial"/>
      <scheme val="minor"/>
    </font>
    <font>
      <color theme="0"/>
      <name val="Oswald"/>
    </font>
    <font>
      <color theme="1"/>
      <name val="Arial"/>
      <scheme val="minor"/>
    </font>
    <font>
      <b/>
      <color rgb="FF000000"/>
      <name val="Calibri"/>
    </font>
    <font>
      <color rgb="FF000000"/>
      <name val="Calibri"/>
    </font>
    <font>
      <b/>
      <color rgb="FFFFFFFF"/>
      <name val="Arial"/>
    </font>
    <font>
      <b/>
      <color rgb="FFFFFFFF"/>
      <name val="Inter var"/>
    </font>
    <font>
      <color rgb="FF22222F"/>
      <name val="Arial"/>
    </font>
    <font>
      <color rgb="FFD9D9D9"/>
      <name val="Arial"/>
    </font>
    <font>
      <color rgb="FF999999"/>
      <name val="Arial"/>
    </font>
    <font>
      <color theme="1"/>
      <name val="Arial"/>
    </font>
    <font>
      <b/>
      <color rgb="FFFFFFFF"/>
      <name val="Arial"/>
      <scheme val="minor"/>
    </font>
    <font>
      <color rgb="FFFFFFFF"/>
      <name val="Arial"/>
      <scheme val="minor"/>
    </font>
    <font>
      <sz val="10.0"/>
      <color rgb="FF22222F"/>
      <name val="Arial"/>
      <scheme val="minor"/>
    </font>
    <font>
      <color rgb="FFD9D9D9"/>
      <name val="Arial"/>
      <scheme val="minor"/>
    </font>
    <font>
      <sz val="10.0"/>
      <color rgb="FF999999"/>
      <name val="Arial"/>
      <scheme val="minor"/>
    </font>
    <font>
      <sz val="10.0"/>
      <color theme="1"/>
      <name val="Arial"/>
      <scheme val="minor"/>
    </font>
    <font>
      <b/>
      <color rgb="FFFFFFFF"/>
      <name val="&quot;Inter var&quot;"/>
    </font>
    <font>
      <color rgb="FF606F7B"/>
      <name val="&quot;Inter var&quot;"/>
    </font>
    <font>
      <color rgb="FF22222F"/>
      <name val="&quot;Inter var&quot;"/>
    </font>
    <font>
      <sz val="8.0"/>
      <color rgb="FF333333"/>
      <name val="&quot;Fira Sans&quot;"/>
    </font>
    <font>
      <color rgb="FF000000"/>
      <name val="Arial"/>
    </font>
    <font>
      <b/>
      <sz val="10.0"/>
      <color rgb="FF22222F"/>
      <name val="Arial"/>
      <scheme val="minor"/>
    </font>
    <font>
      <b/>
      <color theme="1"/>
      <name val="Arial"/>
      <scheme val="minor"/>
    </font>
    <font>
      <color rgb="FFFFFFFF"/>
      <name val="Arial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2E7D32"/>
        <bgColor rgb="FF2E7D32"/>
      </patternFill>
    </fill>
    <fill>
      <patternFill patternType="solid">
        <fgColor rgb="FFFFFFFF"/>
        <bgColor rgb="FFFFFFFF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medium">
        <color rgb="FF000000"/>
      </top>
      <bottom style="medium">
        <color rgb="FF000000"/>
      </bottom>
    </border>
    <border>
      <top style="medium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top style="dotted">
        <color rgb="FF000000"/>
      </top>
      <bottom style="medium">
        <color rgb="FF000000"/>
      </bottom>
    </border>
    <border>
      <bottom style="thin">
        <color rgb="FFDBE4F0"/>
      </bottom>
    </border>
    <border>
      <top style="medium">
        <color rgb="FFDBE4F0"/>
      </top>
    </border>
    <border>
      <bottom style="thin">
        <color rgb="FFE0E0E0"/>
      </bottom>
    </border>
    <border>
      <top style="medium">
        <color rgb="FF2E7D32"/>
      </top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shrinkToFit="0" wrapText="1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/>
    </xf>
    <xf borderId="0" fillId="0" fontId="3" numFmtId="164" xfId="0" applyAlignment="1" applyFont="1" applyNumberFormat="1">
      <alignment horizontal="center" readingOrder="0"/>
    </xf>
    <xf borderId="0" fillId="0" fontId="4" numFmtId="4" xfId="0" applyAlignment="1" applyFont="1" applyNumberFormat="1">
      <alignment horizontal="right" readingOrder="0" vertical="bottom"/>
    </xf>
    <xf borderId="0" fillId="2" fontId="5" numFmtId="0" xfId="0" applyAlignment="1" applyFont="1">
      <alignment vertical="bottom"/>
    </xf>
    <xf borderId="0" fillId="2" fontId="6" numFmtId="165" xfId="0" applyAlignment="1" applyFont="1" applyNumberFormat="1">
      <alignment horizontal="right" vertical="bottom"/>
    </xf>
    <xf borderId="0" fillId="2" fontId="6" numFmtId="166" xfId="0" applyAlignment="1" applyFont="1" applyNumberFormat="1">
      <alignment horizontal="right" vertical="bottom"/>
    </xf>
    <xf borderId="0" fillId="3" fontId="7" numFmtId="3" xfId="0" applyAlignment="1" applyFill="1" applyFont="1" applyNumberFormat="1">
      <alignment horizontal="right" vertical="bottom"/>
    </xf>
    <xf borderId="0" fillId="2" fontId="8" numFmtId="0" xfId="0" applyAlignment="1" applyFont="1">
      <alignment vertical="bottom"/>
    </xf>
    <xf borderId="0" fillId="0" fontId="2" numFmtId="10" xfId="0" applyFont="1" applyNumberFormat="1"/>
    <xf borderId="0" fillId="3" fontId="9" numFmtId="10" xfId="0" applyAlignment="1" applyFont="1" applyNumberFormat="1">
      <alignment horizontal="right" vertical="bottom"/>
    </xf>
    <xf borderId="0" fillId="3" fontId="10" numFmtId="3" xfId="0" applyAlignment="1" applyFont="1" applyNumberFormat="1">
      <alignment horizontal="right" vertical="bottom"/>
    </xf>
    <xf borderId="0" fillId="3" fontId="9" numFmtId="9" xfId="0" applyAlignment="1" applyFont="1" applyNumberFormat="1">
      <alignment horizontal="right" vertical="bottom"/>
    </xf>
    <xf borderId="0" fillId="0" fontId="2" numFmtId="9" xfId="0" applyFont="1" applyNumberFormat="1"/>
    <xf borderId="0" fillId="3" fontId="7" numFmtId="0" xfId="0" applyAlignment="1" applyFont="1">
      <alignment horizontal="right" vertical="bottom"/>
    </xf>
    <xf borderId="0" fillId="0" fontId="2" numFmtId="3" xfId="0" applyFont="1" applyNumberFormat="1"/>
    <xf borderId="0" fillId="2" fontId="11" numFmtId="167" xfId="0" applyAlignment="1" applyFont="1" applyNumberFormat="1">
      <alignment readingOrder="0"/>
    </xf>
    <xf borderId="0" fillId="2" fontId="11" numFmtId="165" xfId="0" applyAlignment="1" applyFont="1" applyNumberFormat="1">
      <alignment readingOrder="0"/>
    </xf>
    <xf borderId="2" fillId="2" fontId="11" numFmtId="0" xfId="0" applyAlignment="1" applyBorder="1" applyFont="1">
      <alignment readingOrder="0"/>
    </xf>
    <xf borderId="2" fillId="0" fontId="2" numFmtId="10" xfId="0" applyAlignment="1" applyBorder="1" applyFont="1" applyNumberFormat="1">
      <alignment readingOrder="0"/>
    </xf>
    <xf borderId="0" fillId="2" fontId="11" numFmtId="0" xfId="0" applyFont="1"/>
    <xf borderId="3" fillId="2" fontId="11" numFmtId="0" xfId="0" applyAlignment="1" applyBorder="1" applyFont="1">
      <alignment readingOrder="0"/>
    </xf>
    <xf borderId="3" fillId="0" fontId="2" numFmtId="10" xfId="0" applyAlignment="1" applyBorder="1" applyFont="1" applyNumberFormat="1">
      <alignment readingOrder="0"/>
    </xf>
    <xf borderId="4" fillId="2" fontId="11" numFmtId="0" xfId="0" applyAlignment="1" applyBorder="1" applyFont="1">
      <alignment readingOrder="0"/>
    </xf>
    <xf borderId="4" fillId="0" fontId="2" numFmtId="10" xfId="0" applyAlignment="1" applyBorder="1" applyFont="1" applyNumberFormat="1">
      <alignment readingOrder="0"/>
    </xf>
    <xf borderId="4" fillId="0" fontId="2" numFmtId="10" xfId="0" applyBorder="1" applyFont="1" applyNumberFormat="1"/>
    <xf borderId="5" fillId="2" fontId="11" numFmtId="0" xfId="0" applyAlignment="1" applyBorder="1" applyFont="1">
      <alignment readingOrder="0"/>
    </xf>
    <xf borderId="5" fillId="0" fontId="2" numFmtId="10" xfId="0" applyAlignment="1" applyBorder="1" applyFont="1" applyNumberFormat="1">
      <alignment readingOrder="0"/>
    </xf>
    <xf borderId="0" fillId="2" fontId="12" numFmtId="0" xfId="0" applyFont="1"/>
    <xf borderId="0" fillId="2" fontId="11" numFmtId="0" xfId="0" applyAlignment="1" applyFont="1">
      <alignment readingOrder="0"/>
    </xf>
    <xf borderId="0" fillId="3" fontId="13" numFmtId="3" xfId="0" applyAlignment="1" applyFont="1" applyNumberFormat="1">
      <alignment horizontal="right" readingOrder="0"/>
    </xf>
    <xf borderId="0" fillId="2" fontId="14" numFmtId="0" xfId="0" applyAlignment="1" applyFont="1">
      <alignment readingOrder="0"/>
    </xf>
    <xf borderId="0" fillId="3" fontId="15" numFmtId="0" xfId="0" applyFont="1"/>
    <xf borderId="0" fillId="3" fontId="15" numFmtId="10" xfId="0" applyFont="1" applyNumberFormat="1"/>
    <xf borderId="0" fillId="3" fontId="16" numFmtId="3" xfId="0" applyFont="1" applyNumberFormat="1"/>
    <xf borderId="0" fillId="3" fontId="15" numFmtId="9" xfId="0" applyAlignment="1" applyFont="1" applyNumberFormat="1">
      <alignment horizontal="right" readingOrder="0"/>
    </xf>
    <xf borderId="0" fillId="3" fontId="13" numFmtId="0" xfId="0" applyAlignment="1" applyFont="1">
      <alignment horizontal="right" readingOrder="0"/>
    </xf>
    <xf borderId="0" fillId="2" fontId="17" numFmtId="167" xfId="0" applyAlignment="1" applyFont="1" applyNumberFormat="1">
      <alignment horizontal="right" readingOrder="0"/>
    </xf>
    <xf borderId="0" fillId="2" fontId="17" numFmtId="165" xfId="0" applyAlignment="1" applyFont="1" applyNumberFormat="1">
      <alignment horizontal="right" readingOrder="0"/>
    </xf>
    <xf borderId="0" fillId="2" fontId="17" numFmtId="166" xfId="0" applyAlignment="1" applyFont="1" applyNumberFormat="1">
      <alignment horizontal="right" readingOrder="0"/>
    </xf>
    <xf borderId="6" fillId="3" fontId="18" numFmtId="0" xfId="0" applyAlignment="1" applyBorder="1" applyFont="1">
      <alignment horizontal="right"/>
    </xf>
    <xf borderId="0" fillId="3" fontId="19" numFmtId="0" xfId="0" applyAlignment="1" applyFont="1">
      <alignment horizontal="right"/>
    </xf>
    <xf borderId="7" fillId="3" fontId="19" numFmtId="0" xfId="0" applyAlignment="1" applyBorder="1" applyFont="1">
      <alignment horizontal="right"/>
    </xf>
    <xf borderId="0" fillId="3" fontId="13" numFmtId="0" xfId="0" applyFont="1"/>
    <xf borderId="8" fillId="0" fontId="20" numFmtId="4" xfId="0" applyAlignment="1" applyBorder="1" applyFont="1" applyNumberFormat="1">
      <alignment horizontal="right" readingOrder="0" vertical="top"/>
    </xf>
    <xf borderId="8" fillId="0" fontId="20" numFmtId="0" xfId="0" applyAlignment="1" applyBorder="1" applyFont="1">
      <alignment horizontal="right" vertical="top"/>
    </xf>
    <xf borderId="0" fillId="3" fontId="20" numFmtId="0" xfId="0" applyFont="1"/>
    <xf borderId="0" fillId="3" fontId="21" numFmtId="10" xfId="0" applyAlignment="1" applyFont="1" applyNumberFormat="1">
      <alignment vertical="bottom"/>
    </xf>
    <xf borderId="0" fillId="2" fontId="5" numFmtId="0" xfId="0" applyAlignment="1" applyFont="1">
      <alignment readingOrder="0" vertical="bottom"/>
    </xf>
    <xf borderId="0" fillId="3" fontId="13" numFmtId="10" xfId="0" applyAlignment="1" applyFont="1" applyNumberFormat="1">
      <alignment horizontal="right" readingOrder="0"/>
    </xf>
    <xf borderId="0" fillId="2" fontId="6" numFmtId="167" xfId="0" applyAlignment="1" applyFont="1" applyNumberFormat="1">
      <alignment horizontal="right" vertical="bottom"/>
    </xf>
    <xf borderId="0" fillId="0" fontId="2" numFmtId="0" xfId="0" applyAlignment="1" applyFont="1">
      <alignment horizontal="center" readingOrder="0"/>
    </xf>
    <xf borderId="0" fillId="0" fontId="2" numFmtId="3" xfId="0" applyAlignment="1" applyFont="1" applyNumberFormat="1">
      <alignment readingOrder="0"/>
    </xf>
    <xf borderId="0" fillId="3" fontId="13" numFmtId="3" xfId="0" applyAlignment="1" applyFont="1" applyNumberFormat="1">
      <alignment horizontal="right"/>
    </xf>
    <xf borderId="0" fillId="3" fontId="13" numFmtId="10" xfId="0" applyAlignment="1" applyFont="1" applyNumberFormat="1">
      <alignment horizontal="right"/>
    </xf>
    <xf borderId="0" fillId="3" fontId="13" numFmtId="4" xfId="0" applyAlignment="1" applyFont="1" applyNumberFormat="1">
      <alignment horizontal="right" readingOrder="0"/>
    </xf>
    <xf borderId="0" fillId="2" fontId="17" numFmtId="49" xfId="0" applyAlignment="1" applyFont="1" applyNumberFormat="1">
      <alignment horizontal="right" readingOrder="0"/>
    </xf>
    <xf borderId="0" fillId="2" fontId="12" numFmtId="0" xfId="0" applyAlignment="1" applyFont="1">
      <alignment readingOrder="0"/>
    </xf>
    <xf borderId="0" fillId="0" fontId="10" numFmtId="0" xfId="0" applyAlignment="1" applyFont="1">
      <alignment vertical="bottom"/>
    </xf>
    <xf borderId="9" fillId="2" fontId="11" numFmtId="0" xfId="0" applyAlignment="1" applyBorder="1" applyFont="1">
      <alignment readingOrder="0"/>
    </xf>
    <xf borderId="9" fillId="3" fontId="22" numFmtId="3" xfId="0" applyAlignment="1" applyBorder="1" applyFont="1" applyNumberFormat="1">
      <alignment horizontal="right" readingOrder="0"/>
    </xf>
    <xf borderId="9" fillId="0" fontId="23" numFmtId="3" xfId="0" applyAlignment="1" applyBorder="1" applyFont="1" applyNumberFormat="1">
      <alignment readingOrder="0"/>
    </xf>
    <xf borderId="0" fillId="0" fontId="10" numFmtId="3" xfId="0" applyAlignment="1" applyFont="1" applyNumberFormat="1">
      <alignment horizontal="right" vertical="bottom"/>
    </xf>
    <xf borderId="9" fillId="0" fontId="23" numFmtId="10" xfId="0" applyBorder="1" applyFont="1" applyNumberFormat="1"/>
    <xf borderId="0" fillId="0" fontId="2" numFmtId="0" xfId="0" applyAlignment="1" applyFont="1">
      <alignment readingOrder="0"/>
    </xf>
    <xf borderId="9" fillId="0" fontId="23" numFmtId="10" xfId="0" applyAlignment="1" applyBorder="1" applyFont="1" applyNumberFormat="1">
      <alignment readingOrder="0"/>
    </xf>
    <xf borderId="9" fillId="0" fontId="23" numFmtId="0" xfId="0" applyAlignment="1" applyBorder="1" applyFont="1">
      <alignment readingOrder="0"/>
    </xf>
    <xf borderId="9" fillId="0" fontId="23" numFmtId="3" xfId="0" applyBorder="1" applyFont="1" applyNumberFormat="1"/>
    <xf borderId="0" fillId="0" fontId="2" numFmtId="0" xfId="0" applyFont="1"/>
    <xf borderId="0" fillId="0" fontId="23" numFmtId="10" xfId="0" applyAlignment="1" applyFont="1" applyNumberFormat="1">
      <alignment readingOrder="0"/>
    </xf>
    <xf borderId="0" fillId="0" fontId="2" numFmtId="2" xfId="0" applyFont="1" applyNumberFormat="1"/>
    <xf borderId="0" fillId="3" fontId="7" numFmtId="3" xfId="0" applyAlignment="1" applyFont="1" applyNumberFormat="1">
      <alignment horizontal="right" readingOrder="0" vertical="bottom"/>
    </xf>
    <xf borderId="0" fillId="0" fontId="2" numFmtId="1" xfId="0" applyFont="1" applyNumberFormat="1"/>
    <xf borderId="0" fillId="2" fontId="24" numFmtId="0" xfId="0" applyAlignment="1" applyFont="1">
      <alignment vertical="bottom"/>
    </xf>
    <xf borderId="0" fillId="0" fontId="2" numFmtId="4" xfId="0" applyAlignment="1" applyFont="1" applyNumberFormat="1">
      <alignment readingOrder="0"/>
    </xf>
    <xf borderId="0" fillId="2" fontId="5" numFmtId="167" xfId="0" applyAlignment="1" applyFont="1" applyNumberFormat="1">
      <alignment horizontal="right" readingOrder="0"/>
    </xf>
    <xf borderId="0" fillId="0" fontId="25" numFmtId="0" xfId="0" applyAlignment="1" applyFont="1">
      <alignment horizontal="right" readingOrder="0" shrinkToFit="0" vertical="bottom" wrapText="0"/>
    </xf>
    <xf borderId="0" fillId="0" fontId="25" numFmtId="1" xfId="0" applyAlignment="1" applyFont="1" applyNumberFormat="1">
      <alignment horizontal="right" readingOrder="0" shrinkToFit="0" vertical="bottom" wrapText="0"/>
    </xf>
    <xf borderId="0" fillId="0" fontId="25" numFmtId="4" xfId="0" applyAlignment="1" applyFont="1" applyNumberFormat="1">
      <alignment horizontal="right" readingOrder="0" shrinkToFit="0" vertical="bottom" wrapText="0"/>
    </xf>
    <xf borderId="0" fillId="0" fontId="25" numFmtId="0" xfId="0" applyAlignment="1" applyFont="1">
      <alignment horizontal="center" readingOrder="0" shrinkToFit="0" vertical="bottom" wrapText="0"/>
    </xf>
    <xf borderId="8" fillId="0" fontId="20" numFmtId="0" xfId="0" applyAlignment="1" applyBorder="1" applyFont="1">
      <alignment horizontal="right" readingOrder="0" vertical="top"/>
    </xf>
    <xf borderId="0" fillId="0" fontId="2" numFmtId="167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3" fontId="13" numFmtId="3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'Relative Stock Performance'!$B$1</c:f>
            </c:strRef>
          </c:tx>
          <c:spPr>
            <a:ln cmpd="sng">
              <a:solidFill>
                <a:srgbClr val="2E7D32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'Relative Stock Performance'!$A$2:$A$1239</c:f>
            </c:strRef>
          </c:cat>
          <c:val>
            <c:numRef>
              <c:f>'Relative Stock Performance'!$B$2:$B$1239</c:f>
              <c:numCache/>
            </c:numRef>
          </c:val>
          <c:smooth val="0"/>
        </c:ser>
        <c:ser>
          <c:idx val="1"/>
          <c:order val="1"/>
          <c:tx>
            <c:strRef>
              <c:f>'Relative Stock Performance'!$C$1</c:f>
            </c:strRef>
          </c:tx>
          <c:spPr>
            <a:ln cmpd="sng">
              <a:solidFill>
                <a:srgbClr val="999999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'Relative Stock Performance'!$A$2:$A$1239</c:f>
            </c:strRef>
          </c:cat>
          <c:val>
            <c:numRef>
              <c:f>'Relative Stock Performance'!$C$2:$C$1239</c:f>
              <c:numCache/>
            </c:numRef>
          </c:val>
          <c:smooth val="0"/>
        </c:ser>
        <c:axId val="2108956078"/>
        <c:axId val="274305365"/>
      </c:lineChart>
      <c:catAx>
        <c:axId val="21089560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solidFill/>
          </a:ln>
        </c:spPr>
        <c:txPr>
          <a:bodyPr rot="-1800000"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274305365"/>
      </c:catAx>
      <c:valAx>
        <c:axId val="274305365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8956078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Promoters</c:v>
          </c:tx>
          <c:spPr>
            <a:solidFill>
              <a:srgbClr val="2E7D32"/>
            </a:solidFill>
            <a:ln cmpd="sng">
              <a:solidFill>
                <a:srgbClr val="000000"/>
              </a:solidFill>
            </a:ln>
          </c:spPr>
          <c:cat>
            <c:strRef>
              <c:f>'Shareholding Analysis'!$B$1:$I$1</c:f>
            </c:strRef>
          </c:cat>
          <c:val>
            <c:numRef>
              <c:f>'Shareholding Analysis'!$B$2:$I$2</c:f>
              <c:numCache/>
            </c:numRef>
          </c:val>
        </c:ser>
        <c:ser>
          <c:idx val="1"/>
          <c:order val="1"/>
          <c:tx>
            <c:v>FIIs</c:v>
          </c:tx>
          <c:spPr>
            <a:solidFill>
              <a:srgbClr val="999999"/>
            </a:solidFill>
            <a:ln cmpd="sng">
              <a:solidFill>
                <a:srgbClr val="000000"/>
              </a:solidFill>
            </a:ln>
          </c:spPr>
          <c:cat>
            <c:strRef>
              <c:f>'Shareholding Analysis'!$B$1:$I$1</c:f>
            </c:strRef>
          </c:cat>
          <c:val>
            <c:numRef>
              <c:f>'Shareholding Analysis'!$B$4:$I$4</c:f>
              <c:numCache/>
            </c:numRef>
          </c:val>
        </c:ser>
        <c:axId val="137607892"/>
        <c:axId val="169285918"/>
      </c:barChart>
      <c:catAx>
        <c:axId val="1376078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285918"/>
      </c:catAx>
      <c:valAx>
        <c:axId val="169285918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60789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DIIs</c:v>
          </c:tx>
          <c:spPr>
            <a:solidFill>
              <a:srgbClr val="2E7D32"/>
            </a:solidFill>
            <a:ln cmpd="sng">
              <a:solidFill>
                <a:srgbClr val="000000"/>
              </a:solidFill>
            </a:ln>
          </c:spPr>
          <c:cat>
            <c:strRef>
              <c:f>'Shareholding Analysis'!$B$1:$I$1</c:f>
            </c:strRef>
          </c:cat>
          <c:val>
            <c:numRef>
              <c:f>'Shareholding Analysis'!$B$9:$I$9</c:f>
              <c:numCache/>
            </c:numRef>
          </c:val>
        </c:ser>
        <c:ser>
          <c:idx val="1"/>
          <c:order val="1"/>
          <c:tx>
            <c:v>Public</c:v>
          </c:tx>
          <c:spPr>
            <a:solidFill>
              <a:srgbClr val="999999"/>
            </a:solidFill>
            <a:ln cmpd="sng">
              <a:solidFill>
                <a:srgbClr val="000000"/>
              </a:solidFill>
            </a:ln>
          </c:spPr>
          <c:cat>
            <c:strRef>
              <c:f>'Shareholding Analysis'!$B$1:$I$1</c:f>
            </c:strRef>
          </c:cat>
          <c:val>
            <c:numRef>
              <c:f>'Shareholding Analysis'!$B$16:$I$16</c:f>
              <c:numCache/>
            </c:numRef>
          </c:val>
        </c:ser>
        <c:axId val="321898188"/>
        <c:axId val="311065038"/>
      </c:barChart>
      <c:catAx>
        <c:axId val="3218981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1065038"/>
      </c:catAx>
      <c:valAx>
        <c:axId val="3110650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189818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from Operations (INR Cr.) and YoY Growth (%)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Revenue from Operations</c:v>
          </c:tx>
          <c:spPr>
            <a:solidFill>
              <a:srgbClr val="2E7D32"/>
            </a:solidFill>
            <a:ln cmpd="sng">
              <a:solidFill>
                <a:srgbClr val="2E7D32">
                  <a:alpha val="100000"/>
                </a:srgbClr>
              </a:solidFill>
            </a:ln>
          </c:spPr>
          <c:dPt>
            <c:idx val="7"/>
          </c:dPt>
          <c:dPt>
            <c:idx val="9"/>
            <c:spPr>
              <a:solidFill>
                <a:srgbClr val="606F7B"/>
              </a:solidFill>
              <a:ln cmpd="sng">
                <a:solidFill>
                  <a:srgbClr val="000000"/>
                </a:solidFill>
              </a:ln>
            </c:spPr>
          </c:dPt>
          <c:dPt>
            <c:idx val="10"/>
            <c:spPr>
              <a:solidFill>
                <a:srgbClr val="606F7B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'Revenue Analysis'!$B$1:$L$1</c:f>
            </c:strRef>
          </c:cat>
          <c:val>
            <c:numRef>
              <c:f>'Revenue Analysis'!$B$2:$L$2</c:f>
              <c:numCache/>
            </c:numRef>
          </c:val>
        </c:ser>
        <c:axId val="528682098"/>
        <c:axId val="1729469756"/>
      </c:barChart>
      <c:catAx>
        <c:axId val="5286820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Particulars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9469756"/>
      </c:catAx>
      <c:valAx>
        <c:axId val="17294697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8682098"/>
      </c:valAx>
      <c:lineChart>
        <c:varyColors val="0"/>
        <c:ser>
          <c:idx val="1"/>
          <c:order val="1"/>
          <c:tx>
            <c:v>YoY Growth (%)</c:v>
          </c:tx>
          <c:spPr>
            <a:ln cmpd="sng">
              <a:solidFill>
                <a:srgbClr val="CCCCCC">
                  <a:alpha val="100000"/>
                </a:srgbClr>
              </a:solidFill>
            </a:ln>
          </c:spPr>
          <c:marker>
            <c:symbol val="none"/>
          </c:marker>
          <c:dPt>
            <c:idx val="5"/>
            <c:marker>
              <c:symbol val="none"/>
            </c:marker>
          </c:dPt>
          <c:cat>
            <c:strRef>
              <c:f>'Revenue Analysis'!$B$1:$L$1</c:f>
            </c:strRef>
          </c:cat>
          <c:val>
            <c:numRef>
              <c:f>'Revenue Analysis'!$B$3:$L$3</c:f>
              <c:numCache/>
            </c:numRef>
          </c:val>
          <c:smooth val="0"/>
        </c:ser>
        <c:axId val="247032400"/>
        <c:axId val="25663107"/>
      </c:lineChart>
      <c:catAx>
        <c:axId val="24703240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663107"/>
      </c:catAx>
      <c:valAx>
        <c:axId val="25663107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703240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COGS and Gross Margins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COGS</c:v>
          </c:tx>
          <c:spPr>
            <a:solidFill>
              <a:srgbClr val="2E7D32"/>
            </a:solidFill>
            <a:ln cmpd="sng">
              <a:solidFill>
                <a:srgbClr val="2E7D32">
                  <a:alpha val="100000"/>
                </a:srgbClr>
              </a:solidFill>
            </a:ln>
          </c:spPr>
          <c:cat>
            <c:strRef>
              <c:f>'Gross Margin Analysis'!$B$1:$H$1</c:f>
            </c:strRef>
          </c:cat>
          <c:val>
            <c:numRef>
              <c:f>'Gross Margin Analysis'!$B$3:$H$3</c:f>
              <c:numCache/>
            </c:numRef>
          </c:val>
        </c:ser>
        <c:ser>
          <c:idx val="1"/>
          <c:order val="1"/>
          <c:tx>
            <c:v>Gross Profit</c:v>
          </c:tx>
          <c:spPr>
            <a:solidFill>
              <a:srgbClr val="606F7B"/>
            </a:solidFill>
            <a:ln cmpd="sng">
              <a:solidFill>
                <a:srgbClr val="000000"/>
              </a:solidFill>
            </a:ln>
          </c:spPr>
          <c:cat>
            <c:strRef>
              <c:f>'Gross Margin Analysis'!$B$1:$H$1</c:f>
            </c:strRef>
          </c:cat>
          <c:val>
            <c:numRef>
              <c:f>'Gross Margin Analysis'!$B$4:$H$4</c:f>
              <c:numCache/>
            </c:numRef>
          </c:val>
        </c:ser>
        <c:axId val="1640734588"/>
        <c:axId val="1132384981"/>
      </c:barChart>
      <c:catAx>
        <c:axId val="16407345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2384981"/>
      </c:catAx>
      <c:valAx>
        <c:axId val="11323849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0734588"/>
      </c:valAx>
      <c:lineChart>
        <c:varyColors val="0"/>
        <c:ser>
          <c:idx val="2"/>
          <c:order val="2"/>
          <c:tx>
            <c:v>Gross Margin</c:v>
          </c:tx>
          <c:spPr>
            <a:ln cmpd="sng">
              <a:solidFill>
                <a:srgbClr val="999999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'Gross Margin Analysis'!$B$1:$H$1</c:f>
            </c:strRef>
          </c:cat>
          <c:val>
            <c:numRef>
              <c:f>'Gross Margin Analysis'!$B$5:$H$5</c:f>
              <c:numCache/>
            </c:numRef>
          </c:val>
          <c:smooth val="0"/>
        </c:ser>
        <c:axId val="316103556"/>
        <c:axId val="683797688"/>
      </c:lineChart>
      <c:catAx>
        <c:axId val="31610355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3797688"/>
      </c:catAx>
      <c:valAx>
        <c:axId val="683797688"/>
        <c:scaling>
          <c:orientation val="minMax"/>
          <c:min val="0.14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610355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EBITDA Margin</c:v>
          </c:tx>
          <c:spPr>
            <a:solidFill>
              <a:srgbClr val="2E7D32"/>
            </a:solidFill>
            <a:ln cmpd="sng">
              <a:solidFill>
                <a:srgbClr val="2E7D32">
                  <a:alpha val="100000"/>
                </a:srgbClr>
              </a:solidFill>
            </a:ln>
          </c:spPr>
          <c:dPt>
            <c:idx val="3"/>
          </c:dPt>
          <c:cat>
            <c:strRef>
              <c:f>'EBITDA Margin Analysis'!$B$1:$H$1</c:f>
            </c:strRef>
          </c:cat>
          <c:val>
            <c:numRef>
              <c:f>'EBITDA Margin Analysis'!$B$4:$H$4</c:f>
              <c:numCache/>
            </c:numRef>
          </c:val>
        </c:ser>
        <c:ser>
          <c:idx val="1"/>
          <c:order val="1"/>
          <c:tx>
            <c:v>Growth</c:v>
          </c:tx>
          <c:spPr>
            <a:solidFill>
              <a:srgbClr val="B7B7B7"/>
            </a:solidFill>
            <a:ln cmpd="sng">
              <a:solidFill>
                <a:srgbClr val="B7B7B7">
                  <a:alpha val="100000"/>
                </a:srgbClr>
              </a:solidFill>
            </a:ln>
          </c:spPr>
          <c:dPt>
            <c:idx val="4"/>
          </c:dPt>
          <c:cat>
            <c:strRef>
              <c:f>'EBITDA Margin Analysis'!$B$1:$H$1</c:f>
            </c:strRef>
          </c:cat>
          <c:val>
            <c:numRef>
              <c:f>'EBITDA Margin Analysis'!$B$5:$H$5</c:f>
              <c:numCache/>
            </c:numRef>
          </c:val>
        </c:ser>
        <c:axId val="1440073192"/>
        <c:axId val="2090883872"/>
      </c:barChart>
      <c:lineChart>
        <c:varyColors val="0"/>
        <c:ser>
          <c:idx val="2"/>
          <c:order val="2"/>
          <c:tx>
            <c:v>2 per. Mov. Avg. (EBITDA Yoy Growth)</c:v>
          </c:tx>
          <c:spPr>
            <a:ln cmpd="sng">
              <a:solidFill>
                <a:srgbClr val="434343">
                  <a:alpha val="10000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'EBITDA Margin Analysis'!$B$1:$H$1</c:f>
            </c:strRef>
          </c:cat>
          <c:val>
            <c:numRef>
              <c:f>'EBITDA Margin Analysis'!$B$6:$H$6</c:f>
              <c:numCache/>
            </c:numRef>
          </c:val>
          <c:smooth val="0"/>
        </c:ser>
        <c:axId val="1440073192"/>
        <c:axId val="2090883872"/>
      </c:lineChart>
      <c:catAx>
        <c:axId val="14400731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0883872"/>
      </c:catAx>
      <c:valAx>
        <c:axId val="2090883872"/>
        <c:scaling>
          <c:orientation val="minMax"/>
          <c:min val="-0.25"/>
        </c:scaling>
        <c:delete val="0"/>
        <c:axPos val="l"/>
        <c:majorGridlines>
          <c:spPr>
            <a:ln>
              <a:solidFill>
                <a:srgbClr val="DBE4F0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0073192"/>
        <c:majorUnit val="0.05"/>
        <c:minorUnit val="0.02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EBIT and EBIT Margin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EBIT</c:v>
          </c:tx>
          <c:spPr>
            <a:solidFill>
              <a:srgbClr val="2E7D32"/>
            </a:solidFill>
            <a:ln cmpd="sng">
              <a:solidFill>
                <a:srgbClr val="2E7D32">
                  <a:alpha val="100000"/>
                </a:srgbClr>
              </a:solidFill>
            </a:ln>
          </c:spPr>
          <c:cat>
            <c:strRef>
              <c:f>'EBIT Margin Analysis'!$B$1:$J$1</c:f>
            </c:strRef>
          </c:cat>
          <c:val>
            <c:numRef>
              <c:f>'EBIT Margin Analysis'!$B$3:$J$3</c:f>
              <c:numCache/>
            </c:numRef>
          </c:val>
        </c:ser>
        <c:axId val="821183585"/>
        <c:axId val="598618222"/>
      </c:barChart>
      <c:catAx>
        <c:axId val="8211835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8618222"/>
      </c:catAx>
      <c:valAx>
        <c:axId val="5986182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1183585"/>
      </c:valAx>
      <c:lineChart>
        <c:varyColors val="0"/>
        <c:ser>
          <c:idx val="1"/>
          <c:order val="1"/>
          <c:tx>
            <c:v>EBIT Margin</c:v>
          </c:tx>
          <c:spPr>
            <a:ln cmpd="sng">
              <a:solidFill>
                <a:srgbClr val="999999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'EBIT Margin Analysis'!$B$1:$J$1</c:f>
            </c:strRef>
          </c:cat>
          <c:val>
            <c:numRef>
              <c:f>'EBIT Margin Analysis'!$B$4:$J$4</c:f>
              <c:numCache/>
            </c:numRef>
          </c:val>
          <c:smooth val="0"/>
        </c:ser>
        <c:axId val="2024853498"/>
        <c:axId val="1282884991"/>
      </c:lineChart>
      <c:catAx>
        <c:axId val="202485349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2884991"/>
      </c:catAx>
      <c:valAx>
        <c:axId val="1282884991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485349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Peer Margin Comparison</a:t>
            </a:r>
          </a:p>
        </c:rich>
      </c:tx>
      <c:overlay val="0"/>
    </c:title>
    <c:plotArea>
      <c:layout/>
      <c:lineChart>
        <c:ser>
          <c:idx val="0"/>
          <c:order val="0"/>
          <c:tx>
            <c:v>V Mart</c:v>
          </c:tx>
          <c:spPr>
            <a:ln cmpd="sng">
              <a:solidFill>
                <a:srgbClr val="1565C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'Peers-Yearly'!$B$2:$F$2</c:f>
            </c:strRef>
          </c:cat>
          <c:val>
            <c:numRef>
              <c:f>'Peers-Yearly'!$B$7:$F$7</c:f>
              <c:numCache/>
            </c:numRef>
          </c:val>
          <c:smooth val="0"/>
        </c:ser>
        <c:ser>
          <c:idx val="1"/>
          <c:order val="1"/>
          <c:tx>
            <c:v>Vishal Mega Mart</c:v>
          </c:tx>
          <c:spPr>
            <a:ln cmpd="sng">
              <a:solidFill>
                <a:srgbClr val="F9A825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'Peers-Yearly'!$B$2:$F$2</c:f>
            </c:strRef>
          </c:cat>
          <c:val>
            <c:numRef>
              <c:f>'Peers-Yearly'!$B$29:$F$29</c:f>
              <c:numCache/>
            </c:numRef>
          </c:val>
          <c:smooth val="0"/>
        </c:ser>
        <c:ser>
          <c:idx val="2"/>
          <c:order val="2"/>
          <c:tx>
            <c:v>Reliance Retail</c:v>
          </c:tx>
          <c:spPr>
            <a:ln cmpd="sng">
              <a:solidFill>
                <a:srgbClr val="5E35B1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'Peers-Yearly'!$B$2:$F$2</c:f>
            </c:strRef>
          </c:cat>
          <c:val>
            <c:numRef>
              <c:f>'Peers-Yearly'!$B$51:$F$51</c:f>
              <c:numCache/>
            </c:numRef>
          </c:val>
          <c:smooth val="0"/>
        </c:ser>
        <c:ser>
          <c:idx val="3"/>
          <c:order val="3"/>
          <c:tx>
            <c:v>Avenue Supermart</c:v>
          </c:tx>
          <c:spPr>
            <a:ln cmpd="sng">
              <a:solidFill>
                <a:srgbClr val="34A853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'Peers-Yearly'!$B$2:$F$2</c:f>
            </c:strRef>
          </c:cat>
          <c:val>
            <c:numRef>
              <c:f>'Gross Margin Analysis'!$D$5:$H$5</c:f>
              <c:numCache/>
            </c:numRef>
          </c:val>
          <c:smooth val="0"/>
        </c:ser>
        <c:axId val="1603481030"/>
        <c:axId val="1873694639"/>
      </c:lineChart>
      <c:catAx>
        <c:axId val="16034810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3694639"/>
      </c:catAx>
      <c:valAx>
        <c:axId val="1873694639"/>
        <c:scaling>
          <c:orientation val="minMax"/>
          <c:min val="0.1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3481030"/>
        <c:majorUnit val="0.05"/>
        <c:minorUnit val="0.0166666666666666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EBITDA Margin Peer Comparison</a:t>
            </a:r>
          </a:p>
        </c:rich>
      </c:tx>
      <c:overlay val="0"/>
    </c:title>
    <c:plotArea>
      <c:layout/>
      <c:lineChart>
        <c:ser>
          <c:idx val="0"/>
          <c:order val="0"/>
          <c:tx>
            <c:v>Reliance Retail</c:v>
          </c:tx>
          <c:spPr>
            <a:ln cmpd="sng">
              <a:solidFill>
                <a:srgbClr val="5E35B1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'Peers-Yearly'!$C$46:$F$46</c:f>
            </c:strRef>
          </c:cat>
          <c:val>
            <c:numRef>
              <c:f>'Peers-Yearly'!$C$10:$F$10</c:f>
              <c:numCache/>
            </c:numRef>
          </c:val>
          <c:smooth val="0"/>
        </c:ser>
        <c:ser>
          <c:idx val="1"/>
          <c:order val="1"/>
          <c:tx>
            <c:v>Vishal Mega Mart</c:v>
          </c:tx>
          <c:spPr>
            <a:ln cmpd="sng">
              <a:solidFill>
                <a:srgbClr val="F9A825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'Peers-Yearly'!$C$46:$F$46</c:f>
            </c:strRef>
          </c:cat>
          <c:val>
            <c:numRef>
              <c:f>'Peers-Yearly'!$C$32:$F$32</c:f>
              <c:numCache/>
            </c:numRef>
          </c:val>
          <c:smooth val="0"/>
        </c:ser>
        <c:ser>
          <c:idx val="2"/>
          <c:order val="2"/>
          <c:tx>
            <c:v>V Mart</c:v>
          </c:tx>
          <c:spPr>
            <a:ln cmpd="sng">
              <a:solidFill>
                <a:srgbClr val="1565C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'Peers-Yearly'!$C$46:$F$46</c:f>
            </c:strRef>
          </c:cat>
          <c:val>
            <c:numRef>
              <c:f>'Peers-Yearly'!$C$54:$F$54</c:f>
              <c:numCache/>
            </c:numRef>
          </c:val>
          <c:smooth val="0"/>
        </c:ser>
        <c:ser>
          <c:idx val="3"/>
          <c:order val="3"/>
          <c:tx>
            <c:v>Avenue Supermarts</c:v>
          </c:tx>
          <c:spPr>
            <a:ln cmpd="sng">
              <a:solidFill>
                <a:srgbClr val="34A853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'Peers-Yearly'!$C$46:$F$46</c:f>
            </c:strRef>
          </c:cat>
          <c:val>
            <c:numRef>
              <c:f>'EBITDA Margin Analysis'!$E$4:$H$4</c:f>
              <c:numCache/>
            </c:numRef>
          </c:val>
          <c:smooth val="0"/>
        </c:ser>
        <c:axId val="1347179488"/>
        <c:axId val="999339138"/>
      </c:lineChart>
      <c:catAx>
        <c:axId val="13471794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9339138"/>
      </c:catAx>
      <c:valAx>
        <c:axId val="999339138"/>
        <c:scaling>
          <c:orientation val="minMax"/>
          <c:min val="0.0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Particulars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7179488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Fixed Asset Turnover Ratio</c:v>
          </c:tx>
          <c:spPr>
            <a:solidFill>
              <a:srgbClr val="2E7D32"/>
            </a:solidFill>
            <a:ln cmpd="sng">
              <a:solidFill>
                <a:srgbClr val="2E7D32">
                  <a:alpha val="100000"/>
                </a:srgbClr>
              </a:solidFill>
            </a:ln>
          </c:spPr>
          <c:cat>
            <c:strRef>
              <c:f>'Fixed Asset Analysis'!$B$1:$J$1</c:f>
            </c:strRef>
          </c:cat>
          <c:val>
            <c:numRef>
              <c:f>'Fixed Asset Analysis'!$B$32:$J$32</c:f>
              <c:numCache/>
            </c:numRef>
          </c:val>
        </c:ser>
        <c:ser>
          <c:idx val="1"/>
          <c:order val="1"/>
          <c:tx>
            <c:v>Change in Rev. / Change in Gross Block</c:v>
          </c:tx>
          <c:spPr>
            <a:solidFill>
              <a:srgbClr val="999999"/>
            </a:solidFill>
            <a:ln cmpd="sng">
              <a:solidFill>
                <a:srgbClr val="999999">
                  <a:alpha val="100000"/>
                </a:srgbClr>
              </a:solidFill>
            </a:ln>
          </c:spPr>
          <c:cat>
            <c:strRef>
              <c:f>'Fixed Asset Analysis'!$B$1:$J$1</c:f>
            </c:strRef>
          </c:cat>
          <c:val>
            <c:numRef>
              <c:f>'Fixed Asset Analysis'!$B$30:$J$30</c:f>
              <c:numCache/>
            </c:numRef>
          </c:val>
        </c:ser>
        <c:axId val="2002908632"/>
        <c:axId val="99729035"/>
      </c:barChart>
      <c:catAx>
        <c:axId val="20029086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729035"/>
      </c:catAx>
      <c:valAx>
        <c:axId val="997290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29086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 Growth vs. Inv Growth</a:t>
            </a:r>
          </a:p>
        </c:rich>
      </c:tx>
      <c:overlay val="0"/>
    </c:title>
    <c:plotArea>
      <c:layout/>
      <c:lineChart>
        <c:ser>
          <c:idx val="0"/>
          <c:order val="0"/>
          <c:tx>
            <c:v>Rev. Growth</c:v>
          </c:tx>
          <c:spPr>
            <a:ln cmpd="sng">
              <a:solidFill>
                <a:srgbClr val="2E7D32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'Inventory Analysis'!$B$1:$H$1</c:f>
            </c:strRef>
          </c:cat>
          <c:val>
            <c:numRef>
              <c:f>'Inventory Analysis'!$B$3:$H$3</c:f>
              <c:numCache/>
            </c:numRef>
          </c:val>
          <c:smooth val="0"/>
        </c:ser>
        <c:ser>
          <c:idx val="1"/>
          <c:order val="1"/>
          <c:tx>
            <c:v>Inv Growth</c:v>
          </c:tx>
          <c:spPr>
            <a:ln cmpd="sng">
              <a:solidFill>
                <a:srgbClr val="666666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'Inventory Analysis'!$B$1:$H$1</c:f>
            </c:strRef>
          </c:cat>
          <c:val>
            <c:numRef>
              <c:f>'Inventory Analysis'!$B$6:$H$6</c:f>
              <c:numCache/>
            </c:numRef>
          </c:val>
          <c:smooth val="0"/>
        </c:ser>
        <c:axId val="727547792"/>
        <c:axId val="850733448"/>
      </c:lineChart>
      <c:catAx>
        <c:axId val="7275477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0733448"/>
      </c:catAx>
      <c:valAx>
        <c:axId val="8507334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Particulars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754779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Vishal Mega Marts</c:v>
          </c:tx>
          <c:spPr>
            <a:solidFill>
              <a:srgbClr val="F9A825"/>
            </a:solidFill>
            <a:ln cmpd="sng">
              <a:solidFill>
                <a:srgbClr val="F9A825">
                  <a:alpha val="100000"/>
                </a:srgbClr>
              </a:solidFill>
            </a:ln>
          </c:spPr>
          <c:dPt>
            <c:idx val="0"/>
            <c:spPr>
              <a:solidFill>
                <a:srgbClr val="F9A825"/>
              </a:solidFill>
              <a:ln cmpd="sng">
                <a:solidFill>
                  <a:srgbClr val="F9A825">
                    <a:alpha val="100000"/>
                  </a:srgbClr>
                </a:solidFill>
              </a:ln>
            </c:spPr>
          </c:dPt>
          <c:dPt>
            <c:idx val="1"/>
          </c:dPt>
          <c:cat>
            <c:strRef>
              <c:f>'Inventory Analysis'!$B$58:$F$58</c:f>
            </c:strRef>
          </c:cat>
          <c:val>
            <c:numRef>
              <c:f>'Inventory Analysis'!$B$69:$F$69</c:f>
              <c:numCache/>
            </c:numRef>
          </c:val>
        </c:ser>
        <c:ser>
          <c:idx val="1"/>
          <c:order val="1"/>
          <c:tx>
            <c:v>V Mart</c:v>
          </c:tx>
          <c:spPr>
            <a:solidFill>
              <a:srgbClr val="1565C0"/>
            </a:solidFill>
            <a:ln cmpd="sng">
              <a:solidFill>
                <a:srgbClr val="1565C0">
                  <a:alpha val="100000"/>
                </a:srgbClr>
              </a:solidFill>
            </a:ln>
          </c:spPr>
          <c:cat>
            <c:strRef>
              <c:f>'Inventory Analysis'!$B$58:$F$58</c:f>
            </c:strRef>
          </c:cat>
          <c:val>
            <c:numRef>
              <c:f>'Inventory Analysis'!$B$83:$F$83</c:f>
              <c:numCache/>
            </c:numRef>
          </c:val>
        </c:ser>
        <c:ser>
          <c:idx val="2"/>
          <c:order val="2"/>
          <c:tx>
            <c:v>Reliance Retail</c:v>
          </c:tx>
          <c:spPr>
            <a:solidFill>
              <a:srgbClr val="5E35B1"/>
            </a:solidFill>
            <a:ln cmpd="sng">
              <a:solidFill>
                <a:srgbClr val="5E35B1">
                  <a:alpha val="100000"/>
                </a:srgbClr>
              </a:solidFill>
            </a:ln>
          </c:spPr>
          <c:cat>
            <c:strRef>
              <c:f>'Inventory Analysis'!$B$58:$F$58</c:f>
            </c:strRef>
          </c:cat>
          <c:val>
            <c:numRef>
              <c:f>'Inventory Analysis'!$B$54:$F$54</c:f>
              <c:numCache/>
            </c:numRef>
          </c:val>
        </c:ser>
        <c:ser>
          <c:idx val="3"/>
          <c:order val="3"/>
          <c:tx>
            <c:v>Avenue Supermarts</c:v>
          </c:tx>
          <c:spPr>
            <a:solidFill>
              <a:srgbClr val="2E7D32"/>
            </a:solidFill>
            <a:ln cmpd="sng">
              <a:solidFill>
                <a:srgbClr val="2E7D32">
                  <a:alpha val="100000"/>
                </a:srgbClr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274E13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'Inventory Analysis'!$B$58:$F$58</c:f>
            </c:strRef>
          </c:cat>
          <c:val>
            <c:numRef>
              <c:f>'Inventory Analysis'!$D$12:$H$12</c:f>
              <c:numCache/>
            </c:numRef>
          </c:val>
        </c:ser>
        <c:axId val="762510260"/>
        <c:axId val="2102861124"/>
      </c:barChart>
      <c:catAx>
        <c:axId val="7625102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2861124"/>
      </c:catAx>
      <c:valAx>
        <c:axId val="21028611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251026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Payables Growth vs. Revenue Growth</a:t>
            </a:r>
          </a:p>
        </c:rich>
      </c:tx>
      <c:overlay val="0"/>
    </c:title>
    <c:plotArea>
      <c:layout/>
      <c:lineChart>
        <c:ser>
          <c:idx val="0"/>
          <c:order val="0"/>
          <c:tx>
            <c:v>Rev Growth %</c:v>
          </c:tx>
          <c:spPr>
            <a:ln cmpd="sng">
              <a:solidFill>
                <a:srgbClr val="606F7B">
                  <a:alpha val="100000"/>
                </a:srgbClr>
              </a:solidFill>
            </a:ln>
          </c:spPr>
          <c:marker>
            <c:symbol val="none"/>
          </c:marker>
          <c:dPt>
            <c:idx val="1"/>
            <c:marker>
              <c:symbol val="none"/>
            </c:marker>
          </c:dPt>
          <c:cat>
            <c:strRef>
              <c:f>'Trade Payables Analysis'!$B$1:$H$1</c:f>
            </c:strRef>
          </c:cat>
          <c:val>
            <c:numRef>
              <c:f>'Trade Payables Analysis'!$B$3:$H$3</c:f>
              <c:numCache/>
            </c:numRef>
          </c:val>
          <c:smooth val="0"/>
        </c:ser>
        <c:ser>
          <c:idx val="1"/>
          <c:order val="1"/>
          <c:tx>
            <c:v>Payables Growth %</c:v>
          </c:tx>
          <c:spPr>
            <a:ln cmpd="sng">
              <a:solidFill>
                <a:srgbClr val="2E7D32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'Trade Payables Analysis'!$B$1:$H$1</c:f>
            </c:strRef>
          </c:cat>
          <c:val>
            <c:numRef>
              <c:f>'Trade Payables Analysis'!$B$6:$H$6</c:f>
              <c:numCache/>
            </c:numRef>
          </c:val>
          <c:smooth val="0"/>
        </c:ser>
        <c:axId val="2049172776"/>
        <c:axId val="253114262"/>
      </c:lineChart>
      <c:catAx>
        <c:axId val="2049172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3114262"/>
      </c:catAx>
      <c:valAx>
        <c:axId val="2531142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917277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Peer Comparison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Reliance Retail</c:v>
          </c:tx>
          <c:spPr>
            <a:solidFill>
              <a:srgbClr val="5E35B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5E35B1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'Trade Payables Analysis'!$E$1:$H$1</c:f>
            </c:strRef>
          </c:cat>
          <c:val>
            <c:numRef>
              <c:f>'Trade Payables Analysis'!$C$45:$F$45</c:f>
              <c:numCache/>
            </c:numRef>
          </c:val>
        </c:ser>
        <c:ser>
          <c:idx val="1"/>
          <c:order val="1"/>
          <c:tx>
            <c:v>Vishal Mega Mart</c:v>
          </c:tx>
          <c:spPr>
            <a:solidFill>
              <a:srgbClr val="F9A825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9A825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'Trade Payables Analysis'!$E$1:$H$1</c:f>
            </c:strRef>
          </c:cat>
          <c:val>
            <c:numRef>
              <c:f>'Trade Payables Analysis'!$C$62:$F$62</c:f>
              <c:numCache/>
            </c:numRef>
          </c:val>
        </c:ser>
        <c:ser>
          <c:idx val="2"/>
          <c:order val="2"/>
          <c:tx>
            <c:v>V Mart</c:v>
          </c:tx>
          <c:spPr>
            <a:solidFill>
              <a:srgbClr val="1565C0"/>
            </a:solidFill>
            <a:ln cmpd="sng">
              <a:solidFill>
                <a:srgbClr val="000000"/>
              </a:solidFill>
            </a:ln>
          </c:spPr>
          <c:cat>
            <c:strRef>
              <c:f>'Trade Payables Analysis'!$E$1:$H$1</c:f>
            </c:strRef>
          </c:cat>
          <c:val>
            <c:numRef>
              <c:f>'Trade Payables Analysis'!$C$79:$F$79</c:f>
              <c:numCache/>
            </c:numRef>
          </c:val>
        </c:ser>
        <c:ser>
          <c:idx val="3"/>
          <c:order val="3"/>
          <c:tx>
            <c:v>Avenue Supermarts</c:v>
          </c:tx>
          <c:spPr>
            <a:solidFill>
              <a:srgbClr val="2E7D32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2E7D32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2E7D32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'Trade Payables Analysis'!$E$1:$H$1</c:f>
            </c:strRef>
          </c:cat>
          <c:val>
            <c:numRef>
              <c:f>'Trade Payables Analysis'!$E$14:$H$14</c:f>
              <c:numCache/>
            </c:numRef>
          </c:val>
        </c:ser>
        <c:axId val="345795430"/>
        <c:axId val="798852308"/>
      </c:barChart>
      <c:catAx>
        <c:axId val="3457954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8852308"/>
      </c:catAx>
      <c:valAx>
        <c:axId val="7988523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579543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Peer Comparison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Avenue Supermarts</c:v>
          </c:tx>
          <c:spPr>
            <a:solidFill>
              <a:srgbClr val="2E7D3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2E7D32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'Cash Conversion Cycle Analysis'!$D$1:$G$1</c:f>
            </c:strRef>
          </c:cat>
          <c:val>
            <c:numRef>
              <c:f>'Cash Conversion Cycle Analysis'!$D$5:$G$5</c:f>
              <c:numCache/>
            </c:numRef>
          </c:val>
        </c:ser>
        <c:ser>
          <c:idx val="1"/>
          <c:order val="1"/>
          <c:tx>
            <c:v>Reliance Retail</c:v>
          </c:tx>
          <c:spPr>
            <a:solidFill>
              <a:srgbClr val="5E35B1"/>
            </a:solidFill>
            <a:ln cmpd="sng">
              <a:solidFill>
                <a:srgbClr val="000000"/>
              </a:solidFill>
            </a:ln>
          </c:spPr>
          <c:cat>
            <c:strRef>
              <c:f>'Cash Conversion Cycle Analysis'!$D$1:$G$1</c:f>
            </c:strRef>
          </c:cat>
          <c:val>
            <c:numRef>
              <c:f>'Cash Conversion Cycle Analysis'!$C$32:$F$32</c:f>
              <c:numCache/>
            </c:numRef>
          </c:val>
        </c:ser>
        <c:ser>
          <c:idx val="2"/>
          <c:order val="2"/>
          <c:tx>
            <c:v>Vishal Mega Mart</c:v>
          </c:tx>
          <c:spPr>
            <a:solidFill>
              <a:srgbClr val="F9A825"/>
            </a:solidFill>
            <a:ln cmpd="sng">
              <a:solidFill>
                <a:srgbClr val="000000"/>
              </a:solidFill>
            </a:ln>
          </c:spPr>
          <c:cat>
            <c:strRef>
              <c:f>'Cash Conversion Cycle Analysis'!$D$1:$G$1</c:f>
            </c:strRef>
          </c:cat>
          <c:val>
            <c:numRef>
              <c:f>'Cash Conversion Cycle Analysis'!$C$40:$F$40</c:f>
              <c:numCache/>
            </c:numRef>
          </c:val>
        </c:ser>
        <c:axId val="279885733"/>
        <c:axId val="1958779432"/>
      </c:barChart>
      <c:catAx>
        <c:axId val="2798857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8779432"/>
      </c:catAx>
      <c:valAx>
        <c:axId val="19587794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988573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CFO vs. FCF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Cash from Operations</c:v>
          </c:tx>
          <c:spPr>
            <a:solidFill>
              <a:srgbClr val="2E7D32"/>
            </a:solidFill>
            <a:ln cmpd="sng">
              <a:solidFill>
                <a:srgbClr val="000000"/>
              </a:solidFill>
            </a:ln>
          </c:spPr>
          <c:cat>
            <c:strRef>
              <c:f>'Cash Flow Analysis'!$B$1:$J$1</c:f>
            </c:strRef>
          </c:cat>
          <c:val>
            <c:numRef>
              <c:f>'Cash Flow Analysis'!$B$2:$J$2</c:f>
              <c:numCache/>
            </c:numRef>
          </c:val>
        </c:ser>
        <c:ser>
          <c:idx val="1"/>
          <c:order val="1"/>
          <c:tx>
            <c:v>Free Cash Flow</c:v>
          </c:tx>
          <c:spPr>
            <a:solidFill>
              <a:srgbClr val="666666"/>
            </a:solidFill>
            <a:ln cmpd="sng">
              <a:solidFill>
                <a:srgbClr val="000000"/>
              </a:solidFill>
            </a:ln>
          </c:spPr>
          <c:cat>
            <c:strRef>
              <c:f>'Cash Flow Analysis'!$B$1:$J$1</c:f>
            </c:strRef>
          </c:cat>
          <c:val>
            <c:numRef>
              <c:f>'Cash Flow Analysis'!$B$12:$J$12</c:f>
              <c:numCache/>
            </c:numRef>
          </c:val>
        </c:ser>
        <c:axId val="2037498180"/>
        <c:axId val="469499908"/>
      </c:barChart>
      <c:catAx>
        <c:axId val="20374981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9499908"/>
      </c:catAx>
      <c:valAx>
        <c:axId val="4694999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74981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Peer Comparison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Avenue Supermarts</c:v>
          </c:tx>
          <c:spPr>
            <a:solidFill>
              <a:srgbClr val="2E7D3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2E7D32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'Cash Flow Analysis'!$H$43</c:f>
            </c:strRef>
          </c:cat>
          <c:val>
            <c:numRef>
              <c:f>'Cash Flow Analysis'!$F$10:$J$10</c:f>
              <c:numCache/>
            </c:numRef>
          </c:val>
        </c:ser>
        <c:ser>
          <c:idx val="1"/>
          <c:order val="1"/>
          <c:tx>
            <c:v>Reliance Retail</c:v>
          </c:tx>
          <c:spPr>
            <a:solidFill>
              <a:srgbClr val="5E35B1"/>
            </a:solidFill>
            <a:ln cmpd="sng">
              <a:solidFill>
                <a:srgbClr val="000000"/>
              </a:solidFill>
            </a:ln>
          </c:spPr>
          <c:cat>
            <c:strRef>
              <c:f>'Cash Flow Analysis'!$H$43</c:f>
            </c:strRef>
          </c:cat>
          <c:val>
            <c:numRef>
              <c:f>'Cash Flow Analysis'!$B$36:$F$36</c:f>
              <c:numCache/>
            </c:numRef>
          </c:val>
        </c:ser>
        <c:ser>
          <c:idx val="2"/>
          <c:order val="2"/>
          <c:tx>
            <c:v>Vishal Mega Mart</c:v>
          </c:tx>
          <c:spPr>
            <a:solidFill>
              <a:srgbClr val="F9A825"/>
            </a:solidFill>
            <a:ln cmpd="sng">
              <a:solidFill>
                <a:srgbClr val="000000"/>
              </a:solidFill>
            </a:ln>
          </c:spPr>
          <c:cat>
            <c:strRef>
              <c:f>'Cash Flow Analysis'!$H$43</c:f>
            </c:strRef>
          </c:cat>
          <c:val>
            <c:numRef>
              <c:f>'Cash Flow Analysis'!$B$41:$F$41</c:f>
              <c:numCache/>
            </c:numRef>
          </c:val>
        </c:ser>
        <c:ser>
          <c:idx val="3"/>
          <c:order val="3"/>
          <c:tx>
            <c:v>V Mart</c:v>
          </c:tx>
          <c:spPr>
            <a:solidFill>
              <a:srgbClr val="1565C0"/>
            </a:solidFill>
            <a:ln cmpd="sng">
              <a:solidFill>
                <a:srgbClr val="000000"/>
              </a:solidFill>
            </a:ln>
          </c:spPr>
          <c:cat>
            <c:strRef>
              <c:f>'Cash Flow Analysis'!$H$43</c:f>
            </c:strRef>
          </c:cat>
          <c:val>
            <c:numRef>
              <c:f>'Cash Flow Analysis'!$B$46:$F$46</c:f>
              <c:numCache/>
            </c:numRef>
          </c:val>
        </c:ser>
        <c:axId val="766594440"/>
        <c:axId val="1184474196"/>
      </c:barChart>
      <c:catAx>
        <c:axId val="7665944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4474196"/>
      </c:catAx>
      <c:valAx>
        <c:axId val="11844741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659444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Return Ratios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Return on Equity</c:v>
          </c:tx>
          <c:spPr>
            <a:solidFill>
              <a:srgbClr val="2E7D32"/>
            </a:solidFill>
            <a:ln cmpd="sng">
              <a:solidFill>
                <a:srgbClr val="000000"/>
              </a:solidFill>
            </a:ln>
          </c:spPr>
          <c:cat>
            <c:strRef>
              <c:f>'Ratio Analysis'!$B$1:$J$1</c:f>
            </c:strRef>
          </c:cat>
          <c:val>
            <c:numRef>
              <c:f>'Ratio Analysis'!$B$7:$J$7</c:f>
              <c:numCache/>
            </c:numRef>
          </c:val>
        </c:ser>
        <c:ser>
          <c:idx val="1"/>
          <c:order val="1"/>
          <c:tx>
            <c:v>Return on Assets</c:v>
          </c:tx>
          <c:spPr>
            <a:solidFill>
              <a:srgbClr val="999999"/>
            </a:solidFill>
            <a:ln cmpd="sng">
              <a:solidFill>
                <a:srgbClr val="000000"/>
              </a:solidFill>
            </a:ln>
          </c:spPr>
          <c:cat>
            <c:strRef>
              <c:f>'Ratio Analysis'!$B$1:$J$1</c:f>
            </c:strRef>
          </c:cat>
          <c:val>
            <c:numRef>
              <c:f>'Ratio Analysis'!$B$8:$J$8</c:f>
              <c:numCache/>
            </c:numRef>
          </c:val>
        </c:ser>
        <c:ser>
          <c:idx val="2"/>
          <c:order val="2"/>
          <c:tx>
            <c:v>Return on Capital Employed</c:v>
          </c:tx>
          <c:spPr>
            <a:solidFill>
              <a:srgbClr val="666666"/>
            </a:solidFill>
            <a:ln cmpd="sng">
              <a:solidFill>
                <a:srgbClr val="000000"/>
              </a:solidFill>
            </a:ln>
          </c:spPr>
          <c:cat>
            <c:strRef>
              <c:f>'Ratio Analysis'!$B$1:$J$1</c:f>
            </c:strRef>
          </c:cat>
          <c:val>
            <c:numRef>
              <c:f>'Ratio Analysis'!$B$9:$J$9</c:f>
              <c:numCache/>
            </c:numRef>
          </c:val>
        </c:ser>
        <c:axId val="1964043511"/>
        <c:axId val="535292147"/>
      </c:barChart>
      <c:catAx>
        <c:axId val="19640435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5292147"/>
      </c:catAx>
      <c:valAx>
        <c:axId val="5352921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404351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Peer Comparison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Reliance Retail</c:v>
          </c:tx>
          <c:spPr>
            <a:solidFill>
              <a:srgbClr val="5E35B1"/>
            </a:solidFill>
            <a:ln cmpd="sng">
              <a:solidFill>
                <a:srgbClr val="000000"/>
              </a:solidFill>
            </a:ln>
          </c:spPr>
          <c:cat>
            <c:strRef>
              <c:f>'Ratio Analysis'!$N$10:$R$10</c:f>
            </c:strRef>
          </c:cat>
          <c:val>
            <c:numRef>
              <c:f>'Ratio Analysis'!$N$11:$R$11</c:f>
              <c:numCache/>
            </c:numRef>
          </c:val>
        </c:ser>
        <c:ser>
          <c:idx val="1"/>
          <c:order val="1"/>
          <c:tx>
            <c:v>VIshal Mega Mart</c:v>
          </c:tx>
          <c:spPr>
            <a:solidFill>
              <a:srgbClr val="F9A825"/>
            </a:solidFill>
            <a:ln cmpd="sng">
              <a:solidFill>
                <a:srgbClr val="000000"/>
              </a:solidFill>
            </a:ln>
          </c:spPr>
          <c:cat>
            <c:strRef>
              <c:f>'Ratio Analysis'!$N$10:$R$10</c:f>
            </c:strRef>
          </c:cat>
          <c:val>
            <c:numRef>
              <c:f>'Ratio Analysis'!$N$12:$R$12</c:f>
              <c:numCache/>
            </c:numRef>
          </c:val>
        </c:ser>
        <c:ser>
          <c:idx val="2"/>
          <c:order val="2"/>
          <c:tx>
            <c:v>V Mart</c:v>
          </c:tx>
          <c:spPr>
            <a:solidFill>
              <a:srgbClr val="1565C0"/>
            </a:solidFill>
            <a:ln cmpd="sng">
              <a:solidFill>
                <a:srgbClr val="000000"/>
              </a:solidFill>
            </a:ln>
          </c:spPr>
          <c:cat>
            <c:strRef>
              <c:f>'Ratio Analysis'!$N$10:$R$10</c:f>
            </c:strRef>
          </c:cat>
          <c:val>
            <c:numRef>
              <c:f>'Ratio Analysis'!$N$13:$R$13</c:f>
              <c:numCache/>
            </c:numRef>
          </c:val>
        </c:ser>
        <c:ser>
          <c:idx val="3"/>
          <c:order val="3"/>
          <c:tx>
            <c:v>Avenue Supermarts</c:v>
          </c:tx>
          <c:spPr>
            <a:solidFill>
              <a:srgbClr val="2E7D32"/>
            </a:solidFill>
            <a:ln cmpd="sng">
              <a:solidFill>
                <a:srgbClr val="000000"/>
              </a:solidFill>
            </a:ln>
          </c:spPr>
          <c:cat>
            <c:strRef>
              <c:f>'Ratio Analysis'!$N$10:$R$10</c:f>
            </c:strRef>
          </c:cat>
          <c:val>
            <c:numRef>
              <c:f>'Ratio Analysis'!$F$14:$J$14</c:f>
              <c:numCache/>
            </c:numRef>
          </c:val>
        </c:ser>
        <c:axId val="716268297"/>
        <c:axId val="1010331036"/>
      </c:barChart>
      <c:catAx>
        <c:axId val="7162682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10331036"/>
      </c:catAx>
      <c:valAx>
        <c:axId val="10103310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626829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Peer Comparison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Reliance Retail</c:v>
          </c:tx>
          <c:spPr>
            <a:solidFill>
              <a:srgbClr val="5E35B1"/>
            </a:solidFill>
            <a:ln cmpd="sng">
              <a:solidFill>
                <a:srgbClr val="000000"/>
              </a:solidFill>
            </a:ln>
          </c:spPr>
          <c:cat>
            <c:strRef>
              <c:f>'Ratio Analysis'!$N$16:$R$16</c:f>
            </c:strRef>
          </c:cat>
          <c:val>
            <c:numRef>
              <c:f>'Ratio Analysis'!$N$17:$R$17</c:f>
              <c:numCache/>
            </c:numRef>
          </c:val>
        </c:ser>
        <c:ser>
          <c:idx val="1"/>
          <c:order val="1"/>
          <c:tx>
            <c:v>Vishal Mega Mart</c:v>
          </c:tx>
          <c:spPr>
            <a:solidFill>
              <a:srgbClr val="F9A825"/>
            </a:solidFill>
            <a:ln cmpd="sng">
              <a:solidFill>
                <a:srgbClr val="000000"/>
              </a:solidFill>
            </a:ln>
          </c:spPr>
          <c:cat>
            <c:strRef>
              <c:f>'Ratio Analysis'!$N$16:$R$16</c:f>
            </c:strRef>
          </c:cat>
          <c:val>
            <c:numRef>
              <c:f>'Ratio Analysis'!$N$18:$R$18</c:f>
              <c:numCache/>
            </c:numRef>
          </c:val>
        </c:ser>
        <c:ser>
          <c:idx val="2"/>
          <c:order val="2"/>
          <c:tx>
            <c:v>V Mart</c:v>
          </c:tx>
          <c:spPr>
            <a:solidFill>
              <a:srgbClr val="1565C0"/>
            </a:solidFill>
            <a:ln cmpd="sng">
              <a:solidFill>
                <a:srgbClr val="000000"/>
              </a:solidFill>
            </a:ln>
          </c:spPr>
          <c:cat>
            <c:strRef>
              <c:f>'Ratio Analysis'!$N$16:$R$16</c:f>
            </c:strRef>
          </c:cat>
          <c:val>
            <c:numRef>
              <c:f>'Ratio Analysis'!$N$19:$R$19</c:f>
              <c:numCache/>
            </c:numRef>
          </c:val>
        </c:ser>
        <c:ser>
          <c:idx val="3"/>
          <c:order val="3"/>
          <c:tx>
            <c:v>Avenue Supermarts</c:v>
          </c:tx>
          <c:spPr>
            <a:solidFill>
              <a:srgbClr val="2E7D3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2E7D32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'Ratio Analysis'!$N$16:$R$16</c:f>
            </c:strRef>
          </c:cat>
          <c:val>
            <c:numRef>
              <c:f>'Ratio Analysis'!$F$7:$J$7</c:f>
              <c:numCache/>
            </c:numRef>
          </c:val>
        </c:ser>
        <c:axId val="1427889904"/>
        <c:axId val="1351994048"/>
      </c:barChart>
      <c:catAx>
        <c:axId val="14278899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1994048"/>
      </c:catAx>
      <c:valAx>
        <c:axId val="13519940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78899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Peer Comparison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Reliance Retail</c:v>
          </c:tx>
          <c:spPr>
            <a:solidFill>
              <a:srgbClr val="5E35B1"/>
            </a:solidFill>
            <a:ln cmpd="sng">
              <a:solidFill>
                <a:srgbClr val="000000"/>
              </a:solidFill>
            </a:ln>
          </c:spPr>
          <c:cat>
            <c:strRef>
              <c:f>'Ratio Analysis'!$N$10:$R$10</c:f>
            </c:strRef>
          </c:cat>
          <c:val>
            <c:numRef>
              <c:f>'Ratio Analysis'!$N$23:$R$23</c:f>
              <c:numCache/>
            </c:numRef>
          </c:val>
        </c:ser>
        <c:ser>
          <c:idx val="1"/>
          <c:order val="1"/>
          <c:tx>
            <c:v>Vishal Mega Mart</c:v>
          </c:tx>
          <c:spPr>
            <a:solidFill>
              <a:srgbClr val="F9A825"/>
            </a:solidFill>
            <a:ln cmpd="sng">
              <a:solidFill>
                <a:srgbClr val="000000"/>
              </a:solidFill>
            </a:ln>
          </c:spPr>
          <c:cat>
            <c:strRef>
              <c:f>'Ratio Analysis'!$N$10:$R$10</c:f>
            </c:strRef>
          </c:cat>
          <c:val>
            <c:numRef>
              <c:f>'Ratio Analysis'!$N$24:$R$24</c:f>
              <c:numCache/>
            </c:numRef>
          </c:val>
        </c:ser>
        <c:ser>
          <c:idx val="2"/>
          <c:order val="2"/>
          <c:tx>
            <c:v>V Mart</c:v>
          </c:tx>
          <c:spPr>
            <a:solidFill>
              <a:srgbClr val="1565C0"/>
            </a:solidFill>
            <a:ln cmpd="sng">
              <a:solidFill>
                <a:srgbClr val="000000"/>
              </a:solidFill>
            </a:ln>
          </c:spPr>
          <c:cat>
            <c:strRef>
              <c:f>'Ratio Analysis'!$N$10:$R$10</c:f>
            </c:strRef>
          </c:cat>
          <c:val>
            <c:numRef>
              <c:f>'Ratio Analysis'!$N$25:$R$25</c:f>
              <c:numCache/>
            </c:numRef>
          </c:val>
        </c:ser>
        <c:ser>
          <c:idx val="3"/>
          <c:order val="3"/>
          <c:tx>
            <c:v>Avenue Supermarts</c:v>
          </c:tx>
          <c:spPr>
            <a:solidFill>
              <a:srgbClr val="2E7D3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2E7D32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'Ratio Analysis'!$N$10:$R$10</c:f>
            </c:strRef>
          </c:cat>
          <c:val>
            <c:numRef>
              <c:f>'Ratio Analysis'!$F$9:$J$9</c:f>
              <c:numCache/>
            </c:numRef>
          </c:val>
        </c:ser>
        <c:axId val="737598625"/>
        <c:axId val="1089125775"/>
      </c:barChart>
      <c:catAx>
        <c:axId val="7375986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9125775"/>
      </c:catAx>
      <c:valAx>
        <c:axId val="10891257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759862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PAT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2E7D3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2E7D32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'Dupont Equation Analysis - ROE'!$B$2:$J$2</c:f>
            </c:strRef>
          </c:cat>
          <c:val>
            <c:numRef>
              <c:f>'Dupont Equation Analysis - ROE'!$B$11:$J$11</c:f>
              <c:numCache/>
            </c:numRef>
          </c:val>
        </c:ser>
        <c:axId val="333240709"/>
        <c:axId val="665019058"/>
      </c:barChart>
      <c:catAx>
        <c:axId val="3332407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5019058"/>
      </c:catAx>
      <c:valAx>
        <c:axId val="6650190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324070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Return on Equity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2E7D3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2E7D32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'Dupont Equation Analysis - ROE'!$B$10:$J$10</c:f>
            </c:strRef>
          </c:cat>
          <c:val>
            <c:numRef>
              <c:f>'Dupont Equation Analysis - ROE'!$B$23:$J$23</c:f>
              <c:numCache/>
            </c:numRef>
          </c:val>
        </c:ser>
        <c:axId val="1694514873"/>
        <c:axId val="2015768522"/>
      </c:barChart>
      <c:catAx>
        <c:axId val="16945148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5768522"/>
      </c:catAx>
      <c:valAx>
        <c:axId val="20157685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451487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2E7D3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2E7D32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'Dupont Equation Analysis - ROE'!$B$2:$J$2</c:f>
            </c:strRef>
          </c:cat>
          <c:val>
            <c:numRef>
              <c:f>'Dupont Equation Analysis - ROE'!$B$12:$J$12</c:f>
              <c:numCache/>
            </c:numRef>
          </c:val>
        </c:ser>
        <c:axId val="366917277"/>
        <c:axId val="1767884288"/>
      </c:barChart>
      <c:catAx>
        <c:axId val="3669172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7884288"/>
      </c:catAx>
      <c:valAx>
        <c:axId val="17678842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691727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Avg. Total Asset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2E7D3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2E7D32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'Dupont Equation Analysis - ROE'!$B$10:$J$10</c:f>
            </c:strRef>
          </c:cat>
          <c:val>
            <c:numRef>
              <c:f>'Dupont Equation Analysis - ROE'!$B$16:$J$16</c:f>
              <c:numCache/>
            </c:numRef>
          </c:val>
        </c:ser>
        <c:axId val="45116055"/>
        <c:axId val="1037983345"/>
      </c:barChart>
      <c:catAx>
        <c:axId val="451160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7983345"/>
      </c:catAx>
      <c:valAx>
        <c:axId val="10379833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11605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Avg. Shareholders' Equity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2E7D3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2E7D32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'Dupont Equation Analysis - ROE'!$B$2:$J$2</c:f>
            </c:strRef>
          </c:cat>
          <c:val>
            <c:numRef>
              <c:f>'Dupont Equation Analysis - ROE'!$B$20:$J$20</c:f>
              <c:numCache/>
            </c:numRef>
          </c:val>
        </c:ser>
        <c:axId val="748212684"/>
        <c:axId val="806792069"/>
      </c:barChart>
      <c:catAx>
        <c:axId val="7482126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6792069"/>
      </c:catAx>
      <c:valAx>
        <c:axId val="8067920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821268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Financial Leverage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2E7D3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2E7D32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'Dupont Equation Analysis - ROE'!$B$10:$J$10</c:f>
            </c:strRef>
          </c:cat>
          <c:val>
            <c:numRef>
              <c:f>'Dupont Equation Analysis - ROE'!$B$21:$J$21</c:f>
              <c:numCache/>
            </c:numRef>
          </c:val>
        </c:ser>
        <c:axId val="875345421"/>
        <c:axId val="1921791658"/>
      </c:barChart>
      <c:catAx>
        <c:axId val="8753454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1791658"/>
      </c:catAx>
      <c:valAx>
        <c:axId val="1921791658"/>
        <c:scaling>
          <c:orientation val="minMax"/>
          <c:max val="2.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53454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6.xml"/><Relationship Id="rId2" Type="http://schemas.openxmlformats.org/officeDocument/2006/relationships/chart" Target="../charts/chart17.xml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8.xml"/><Relationship Id="rId2" Type="http://schemas.openxmlformats.org/officeDocument/2006/relationships/chart" Target="../charts/chart19.xml"/><Relationship Id="rId3" Type="http://schemas.openxmlformats.org/officeDocument/2006/relationships/chart" Target="../charts/chart20.xml"/><Relationship Id="rId4" Type="http://schemas.openxmlformats.org/officeDocument/2006/relationships/chart" Target="../charts/chart21.xml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2.xml"/><Relationship Id="rId2" Type="http://schemas.openxmlformats.org/officeDocument/2006/relationships/chart" Target="../charts/chart23.xml"/><Relationship Id="rId3" Type="http://schemas.openxmlformats.org/officeDocument/2006/relationships/chart" Target="../charts/chart24.xml"/><Relationship Id="rId4" Type="http://schemas.openxmlformats.org/officeDocument/2006/relationships/chart" Target="../charts/chart25.xml"/><Relationship Id="rId5" Type="http://schemas.openxmlformats.org/officeDocument/2006/relationships/chart" Target="../charts/chart26.xml"/><Relationship Id="rId6" Type="http://schemas.openxmlformats.org/officeDocument/2006/relationships/chart" Target="../charts/chart2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419100</xdr:colOff>
      <xdr:row>8</xdr:row>
      <xdr:rowOff>28575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18</xdr:row>
      <xdr:rowOff>66675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533400</xdr:colOff>
      <xdr:row>18</xdr:row>
      <xdr:rowOff>66675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552450</xdr:colOff>
      <xdr:row>3</xdr:row>
      <xdr:rowOff>142875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5</xdr:row>
      <xdr:rowOff>161925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2095500</xdr:colOff>
      <xdr:row>6</xdr:row>
      <xdr:rowOff>142875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28575</xdr:colOff>
      <xdr:row>4</xdr:row>
      <xdr:rowOff>161925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295275</xdr:colOff>
      <xdr:row>1</xdr:row>
      <xdr:rowOff>152400</xdr:rowOff>
    </xdr:from>
    <xdr:ext cx="5715000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295275</xdr:colOff>
      <xdr:row>23</xdr:row>
      <xdr:rowOff>142875</xdr:rowOff>
    </xdr:from>
    <xdr:ext cx="5791200" cy="35337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333375</xdr:colOff>
      <xdr:row>6</xdr:row>
      <xdr:rowOff>123825</xdr:rowOff>
    </xdr:from>
    <xdr:ext cx="5715000" cy="353377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438150</xdr:colOff>
      <xdr:row>13</xdr:row>
      <xdr:rowOff>9525</xdr:rowOff>
    </xdr:from>
    <xdr:ext cx="5715000" cy="353377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95250</xdr:colOff>
      <xdr:row>13</xdr:row>
      <xdr:rowOff>9525</xdr:rowOff>
    </xdr:from>
    <xdr:ext cx="5715000" cy="3533775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14</xdr:row>
      <xdr:rowOff>123825</xdr:rowOff>
    </xdr:from>
    <xdr:ext cx="4829175" cy="2990850"/>
    <xdr:graphicFrame>
      <xdr:nvGraphicFramePr>
        <xdr:cNvPr id="13" name="Chart 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466725</xdr:colOff>
      <xdr:row>14</xdr:row>
      <xdr:rowOff>123825</xdr:rowOff>
    </xdr:from>
    <xdr:ext cx="4829175" cy="2990850"/>
    <xdr:graphicFrame>
      <xdr:nvGraphicFramePr>
        <xdr:cNvPr id="14" name="Chart 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647700</xdr:colOff>
      <xdr:row>5</xdr:row>
      <xdr:rowOff>190500</xdr:rowOff>
    </xdr:from>
    <xdr:ext cx="5715000" cy="3533775"/>
    <xdr:graphicFrame>
      <xdr:nvGraphicFramePr>
        <xdr:cNvPr id="15" name="Chart 1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12</xdr:row>
      <xdr:rowOff>57150</xdr:rowOff>
    </xdr:from>
    <xdr:ext cx="5715000" cy="3533775"/>
    <xdr:graphicFrame>
      <xdr:nvGraphicFramePr>
        <xdr:cNvPr id="16" name="Chart 1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276225</xdr:colOff>
      <xdr:row>12</xdr:row>
      <xdr:rowOff>57150</xdr:rowOff>
    </xdr:from>
    <xdr:ext cx="5715000" cy="3533775"/>
    <xdr:graphicFrame>
      <xdr:nvGraphicFramePr>
        <xdr:cNvPr id="17" name="Chart 1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266700</xdr:colOff>
      <xdr:row>35</xdr:row>
      <xdr:rowOff>171450</xdr:rowOff>
    </xdr:from>
    <xdr:ext cx="4667250" cy="2886075"/>
    <xdr:graphicFrame>
      <xdr:nvGraphicFramePr>
        <xdr:cNvPr id="18" name="Chart 1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35</xdr:row>
      <xdr:rowOff>171450</xdr:rowOff>
    </xdr:from>
    <xdr:ext cx="4667250" cy="2886075"/>
    <xdr:graphicFrame>
      <xdr:nvGraphicFramePr>
        <xdr:cNvPr id="19" name="Chart 1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20</xdr:row>
      <xdr:rowOff>180975</xdr:rowOff>
    </xdr:from>
    <xdr:ext cx="4667250" cy="2886075"/>
    <xdr:graphicFrame>
      <xdr:nvGraphicFramePr>
        <xdr:cNvPr id="20" name="Chart 2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4</xdr:col>
      <xdr:colOff>266700</xdr:colOff>
      <xdr:row>20</xdr:row>
      <xdr:rowOff>180975</xdr:rowOff>
    </xdr:from>
    <xdr:ext cx="4667250" cy="2886075"/>
    <xdr:graphicFrame>
      <xdr:nvGraphicFramePr>
        <xdr:cNvPr id="21" name="Chart 2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23</xdr:row>
      <xdr:rowOff>171450</xdr:rowOff>
    </xdr:from>
    <xdr:ext cx="4324350" cy="2667000"/>
    <xdr:graphicFrame>
      <xdr:nvGraphicFramePr>
        <xdr:cNvPr id="22" name="Chart 2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781050</xdr:colOff>
      <xdr:row>23</xdr:row>
      <xdr:rowOff>171450</xdr:rowOff>
    </xdr:from>
    <xdr:ext cx="4324350" cy="2667000"/>
    <xdr:graphicFrame>
      <xdr:nvGraphicFramePr>
        <xdr:cNvPr id="23" name="Chart 2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552450</xdr:colOff>
      <xdr:row>23</xdr:row>
      <xdr:rowOff>171450</xdr:rowOff>
    </xdr:from>
    <xdr:ext cx="4324350" cy="2667000"/>
    <xdr:graphicFrame>
      <xdr:nvGraphicFramePr>
        <xdr:cNvPr id="24" name="Chart 2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0</xdr:colOff>
      <xdr:row>37</xdr:row>
      <xdr:rowOff>190500</xdr:rowOff>
    </xdr:from>
    <xdr:ext cx="4324350" cy="2667000"/>
    <xdr:graphicFrame>
      <xdr:nvGraphicFramePr>
        <xdr:cNvPr id="25" name="Chart 2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3</xdr:col>
      <xdr:colOff>781050</xdr:colOff>
      <xdr:row>37</xdr:row>
      <xdr:rowOff>190500</xdr:rowOff>
    </xdr:from>
    <xdr:ext cx="4324350" cy="2667000"/>
    <xdr:graphicFrame>
      <xdr:nvGraphicFramePr>
        <xdr:cNvPr id="26" name="Chart 2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8</xdr:col>
      <xdr:colOff>552450</xdr:colOff>
      <xdr:row>37</xdr:row>
      <xdr:rowOff>190500</xdr:rowOff>
    </xdr:from>
    <xdr:ext cx="4324350" cy="2667000"/>
    <xdr:graphicFrame>
      <xdr:nvGraphicFramePr>
        <xdr:cNvPr id="27" name="Chart 2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63"/>
    <col customWidth="1" min="2" max="2" width="16.63"/>
    <col customWidth="1" min="3" max="3" width="21.0"/>
    <col customWidth="1" min="4" max="4" width="28.5"/>
    <col customWidth="1" min="5" max="5" width="12.25"/>
    <col customWidth="1" min="6" max="6" width="7.63"/>
    <col customWidth="1" min="7" max="7" width="2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14</v>
      </c>
      <c r="B3" s="3" t="s">
        <v>15</v>
      </c>
      <c r="C3" s="3" t="s">
        <v>16</v>
      </c>
      <c r="D3" s="3" t="s">
        <v>17</v>
      </c>
      <c r="E3" s="3" t="s">
        <v>12</v>
      </c>
      <c r="F3" s="3" t="s">
        <v>12</v>
      </c>
      <c r="G3" s="3" t="s">
        <v>18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19</v>
      </c>
      <c r="B4" s="3" t="s">
        <v>20</v>
      </c>
      <c r="C4" s="3" t="s">
        <v>21</v>
      </c>
      <c r="D4" s="3" t="s">
        <v>22</v>
      </c>
      <c r="E4" s="3" t="s">
        <v>12</v>
      </c>
      <c r="F4" s="3" t="s">
        <v>12</v>
      </c>
      <c r="G4" s="3" t="s">
        <v>23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24</v>
      </c>
      <c r="B5" s="3" t="s">
        <v>25</v>
      </c>
      <c r="C5" s="3" t="s">
        <v>26</v>
      </c>
      <c r="D5" s="3" t="s">
        <v>27</v>
      </c>
      <c r="E5" s="3" t="s">
        <v>28</v>
      </c>
      <c r="F5" s="3" t="s">
        <v>12</v>
      </c>
      <c r="G5" s="3" t="s">
        <v>29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30</v>
      </c>
      <c r="B6" s="3" t="s">
        <v>25</v>
      </c>
      <c r="C6" s="3" t="s">
        <v>31</v>
      </c>
      <c r="D6" s="3" t="s">
        <v>32</v>
      </c>
      <c r="E6" s="3" t="s">
        <v>12</v>
      </c>
      <c r="F6" s="3" t="s">
        <v>12</v>
      </c>
      <c r="G6" s="3" t="s">
        <v>33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34</v>
      </c>
      <c r="B7" s="3" t="s">
        <v>25</v>
      </c>
      <c r="C7" s="3" t="s">
        <v>35</v>
      </c>
      <c r="D7" s="3" t="s">
        <v>36</v>
      </c>
      <c r="E7" s="3" t="s">
        <v>12</v>
      </c>
      <c r="F7" s="3" t="s">
        <v>12</v>
      </c>
      <c r="G7" s="3" t="s">
        <v>37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38</v>
      </c>
      <c r="B8" s="3" t="s">
        <v>39</v>
      </c>
      <c r="C8" s="3" t="s">
        <v>40</v>
      </c>
      <c r="D8" s="3" t="s">
        <v>41</v>
      </c>
      <c r="E8" s="3" t="s">
        <v>42</v>
      </c>
      <c r="F8" s="3" t="s">
        <v>12</v>
      </c>
      <c r="G8" s="3" t="s">
        <v>43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44</v>
      </c>
      <c r="B9" s="3" t="s">
        <v>45</v>
      </c>
      <c r="C9" s="3" t="s">
        <v>40</v>
      </c>
      <c r="D9" s="3" t="s">
        <v>46</v>
      </c>
      <c r="E9" s="3" t="s">
        <v>12</v>
      </c>
      <c r="F9" s="3" t="s">
        <v>12</v>
      </c>
      <c r="G9" s="3" t="s">
        <v>47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48</v>
      </c>
      <c r="B1" s="4" t="s">
        <v>49</v>
      </c>
      <c r="C1" s="4" t="s">
        <v>50</v>
      </c>
    </row>
    <row r="2">
      <c r="A2" s="5" t="s">
        <v>51</v>
      </c>
      <c r="B2" s="6">
        <v>3190.0</v>
      </c>
      <c r="C2" s="6">
        <v>15208.9</v>
      </c>
    </row>
    <row r="3">
      <c r="A3" s="5" t="s">
        <v>52</v>
      </c>
      <c r="B3" s="6">
        <v>3092.0</v>
      </c>
      <c r="C3" s="6">
        <v>15118.95</v>
      </c>
    </row>
    <row r="4">
      <c r="A4" s="5" t="s">
        <v>53</v>
      </c>
      <c r="B4" s="6">
        <v>3080.0</v>
      </c>
      <c r="C4" s="6">
        <v>14981.75</v>
      </c>
    </row>
    <row r="5">
      <c r="A5" s="5" t="s">
        <v>54</v>
      </c>
      <c r="B5" s="6">
        <v>2983.0</v>
      </c>
      <c r="C5" s="6">
        <v>14675.7</v>
      </c>
    </row>
    <row r="6">
      <c r="A6" s="5" t="s">
        <v>55</v>
      </c>
      <c r="B6" s="6">
        <v>3143.0</v>
      </c>
      <c r="C6" s="6">
        <v>14707.8</v>
      </c>
    </row>
    <row r="7">
      <c r="A7" s="5" t="s">
        <v>56</v>
      </c>
      <c r="B7" s="6">
        <v>3124.8</v>
      </c>
      <c r="C7" s="6">
        <v>14982.0</v>
      </c>
    </row>
    <row r="8">
      <c r="A8" s="5" t="s">
        <v>57</v>
      </c>
      <c r="B8" s="6">
        <v>3082.9</v>
      </c>
      <c r="C8" s="6">
        <v>15097.35</v>
      </c>
    </row>
    <row r="9">
      <c r="A9" s="5" t="s">
        <v>58</v>
      </c>
      <c r="B9" s="6">
        <v>2960.0</v>
      </c>
      <c r="C9" s="6">
        <v>14529.15</v>
      </c>
    </row>
    <row r="10">
      <c r="A10" s="5">
        <v>44199.0</v>
      </c>
      <c r="B10" s="6">
        <v>2903.05</v>
      </c>
      <c r="C10" s="6">
        <v>14761.55</v>
      </c>
    </row>
    <row r="11">
      <c r="A11" s="5">
        <v>44230.0</v>
      </c>
      <c r="B11" s="6">
        <v>3089.0</v>
      </c>
      <c r="C11" s="6">
        <v>14919.1</v>
      </c>
    </row>
    <row r="12">
      <c r="A12" s="5">
        <v>44258.0</v>
      </c>
      <c r="B12" s="6">
        <v>3160.0</v>
      </c>
      <c r="C12" s="6">
        <v>15245.6</v>
      </c>
    </row>
    <row r="13">
      <c r="A13" s="5">
        <v>44289.0</v>
      </c>
      <c r="B13" s="6">
        <v>3141.0</v>
      </c>
      <c r="C13" s="6">
        <v>15080.75</v>
      </c>
    </row>
    <row r="14">
      <c r="A14" s="5">
        <v>44319.0</v>
      </c>
      <c r="B14" s="6">
        <v>3271.0</v>
      </c>
      <c r="C14" s="6">
        <v>14938.1</v>
      </c>
    </row>
    <row r="15">
      <c r="A15" s="5">
        <v>44411.0</v>
      </c>
      <c r="B15" s="6">
        <v>3190.0</v>
      </c>
      <c r="C15" s="6">
        <v>14956.2</v>
      </c>
    </row>
    <row r="16">
      <c r="A16" s="5">
        <v>44442.0</v>
      </c>
      <c r="B16" s="6">
        <v>3144.9</v>
      </c>
      <c r="C16" s="6">
        <v>15098.4</v>
      </c>
    </row>
    <row r="17">
      <c r="A17" s="5">
        <v>44472.0</v>
      </c>
      <c r="B17" s="6">
        <v>3155.0</v>
      </c>
      <c r="C17" s="6">
        <v>15174.8</v>
      </c>
    </row>
    <row r="18">
      <c r="A18" s="5">
        <v>44533.0</v>
      </c>
      <c r="B18" s="6">
        <v>3136.7</v>
      </c>
      <c r="C18" s="6">
        <v>15030.95</v>
      </c>
    </row>
    <row r="19">
      <c r="A19" s="5" t="s">
        <v>59</v>
      </c>
      <c r="B19" s="6">
        <v>3114.95</v>
      </c>
      <c r="C19" s="6">
        <v>14929.5</v>
      </c>
    </row>
    <row r="20">
      <c r="A20" s="5" t="s">
        <v>60</v>
      </c>
      <c r="B20" s="6">
        <v>3065.0</v>
      </c>
      <c r="C20" s="6">
        <v>14910.45</v>
      </c>
    </row>
    <row r="21">
      <c r="A21" s="5" t="s">
        <v>61</v>
      </c>
      <c r="B21" s="6">
        <v>3001.0</v>
      </c>
      <c r="C21" s="6">
        <v>14721.3</v>
      </c>
    </row>
    <row r="22">
      <c r="A22" s="5" t="s">
        <v>62</v>
      </c>
      <c r="B22" s="6">
        <v>3030.0</v>
      </c>
      <c r="C22" s="6">
        <v>14557.85</v>
      </c>
    </row>
    <row r="23">
      <c r="A23" s="5" t="s">
        <v>63</v>
      </c>
      <c r="B23" s="6">
        <v>2958.0</v>
      </c>
      <c r="C23" s="6">
        <v>14744.0</v>
      </c>
    </row>
    <row r="24">
      <c r="A24" s="5" t="s">
        <v>64</v>
      </c>
      <c r="B24" s="6">
        <v>2905.0</v>
      </c>
      <c r="C24" s="6">
        <v>14736.4</v>
      </c>
    </row>
    <row r="25">
      <c r="A25" s="5" t="s">
        <v>65</v>
      </c>
      <c r="B25" s="6">
        <v>2930.0</v>
      </c>
      <c r="C25" s="6">
        <v>14814.75</v>
      </c>
    </row>
    <row r="26">
      <c r="A26" s="5" t="s">
        <v>66</v>
      </c>
      <c r="B26" s="6">
        <v>2870.0</v>
      </c>
      <c r="C26" s="6">
        <v>14549.4</v>
      </c>
    </row>
    <row r="27">
      <c r="A27" s="5" t="s">
        <v>67</v>
      </c>
      <c r="B27" s="6">
        <v>2796.8</v>
      </c>
      <c r="C27" s="6">
        <v>14324.9</v>
      </c>
    </row>
    <row r="28">
      <c r="A28" s="5" t="s">
        <v>68</v>
      </c>
      <c r="B28" s="6">
        <v>2861.0</v>
      </c>
      <c r="C28" s="6">
        <v>14507.3</v>
      </c>
    </row>
    <row r="29">
      <c r="A29" s="5" t="s">
        <v>69</v>
      </c>
      <c r="B29" s="6">
        <v>2830.0</v>
      </c>
      <c r="C29" s="6">
        <v>14845.1</v>
      </c>
    </row>
    <row r="30">
      <c r="A30" s="5" t="s">
        <v>70</v>
      </c>
      <c r="B30" s="6">
        <v>2870.0</v>
      </c>
      <c r="C30" s="6">
        <v>14690.7</v>
      </c>
    </row>
    <row r="31">
      <c r="A31" s="5">
        <v>44200.0</v>
      </c>
      <c r="B31" s="6">
        <v>2910.0</v>
      </c>
      <c r="C31" s="6">
        <v>14867.35</v>
      </c>
    </row>
    <row r="32">
      <c r="A32" s="5">
        <v>44320.0</v>
      </c>
      <c r="B32" s="6">
        <v>2836.15</v>
      </c>
      <c r="C32" s="6">
        <v>14637.8</v>
      </c>
    </row>
    <row r="33">
      <c r="A33" s="5">
        <v>44351.0</v>
      </c>
      <c r="B33" s="6">
        <v>2851.0</v>
      </c>
      <c r="C33" s="6">
        <v>14683.5</v>
      </c>
    </row>
    <row r="34">
      <c r="A34" s="5">
        <v>44381.0</v>
      </c>
      <c r="B34" s="6">
        <v>2880.0</v>
      </c>
      <c r="C34" s="6">
        <v>14819.05</v>
      </c>
    </row>
    <row r="35">
      <c r="A35" s="5">
        <v>44412.0</v>
      </c>
      <c r="B35" s="6">
        <v>2932.9</v>
      </c>
      <c r="C35" s="6">
        <v>14873.8</v>
      </c>
    </row>
    <row r="36">
      <c r="A36" s="5">
        <v>44443.0</v>
      </c>
      <c r="B36" s="6">
        <v>2940.0</v>
      </c>
      <c r="C36" s="6">
        <v>14834.85</v>
      </c>
    </row>
    <row r="37">
      <c r="A37" s="5">
        <v>44534.0</v>
      </c>
      <c r="B37" s="6">
        <v>2821.35</v>
      </c>
      <c r="C37" s="6">
        <v>14310.8</v>
      </c>
    </row>
    <row r="38">
      <c r="A38" s="5" t="s">
        <v>71</v>
      </c>
      <c r="B38" s="6">
        <v>2830.0</v>
      </c>
      <c r="C38" s="6">
        <v>14504.8</v>
      </c>
    </row>
    <row r="39">
      <c r="A39" s="5" t="s">
        <v>72</v>
      </c>
      <c r="B39" s="6">
        <v>2929.05</v>
      </c>
      <c r="C39" s="6">
        <v>14581.45</v>
      </c>
    </row>
    <row r="40">
      <c r="A40" s="5" t="s">
        <v>73</v>
      </c>
      <c r="B40" s="6">
        <v>2906.95</v>
      </c>
      <c r="C40" s="6">
        <v>14617.85</v>
      </c>
    </row>
    <row r="41">
      <c r="A41" s="5" t="s">
        <v>74</v>
      </c>
      <c r="B41" s="6">
        <v>2851.2</v>
      </c>
      <c r="C41" s="6">
        <v>14359.45</v>
      </c>
    </row>
    <row r="42">
      <c r="A42" s="5" t="s">
        <v>75</v>
      </c>
      <c r="B42" s="6">
        <v>2780.0</v>
      </c>
      <c r="C42" s="6">
        <v>14296.4</v>
      </c>
    </row>
    <row r="43">
      <c r="A43" s="5" t="s">
        <v>76</v>
      </c>
      <c r="B43" s="6">
        <v>2712.0</v>
      </c>
      <c r="C43" s="6">
        <v>14406.15</v>
      </c>
    </row>
    <row r="44">
      <c r="A44" s="5" t="s">
        <v>77</v>
      </c>
      <c r="B44" s="6">
        <v>2704.5</v>
      </c>
      <c r="C44" s="6">
        <v>14341.35</v>
      </c>
    </row>
    <row r="45">
      <c r="A45" s="5" t="s">
        <v>78</v>
      </c>
      <c r="B45" s="6">
        <v>2812.05</v>
      </c>
      <c r="C45" s="6">
        <v>14485.0</v>
      </c>
    </row>
    <row r="46">
      <c r="A46" s="5" t="s">
        <v>79</v>
      </c>
      <c r="B46" s="6">
        <v>2828.0</v>
      </c>
      <c r="C46" s="6">
        <v>14653.05</v>
      </c>
    </row>
    <row r="47">
      <c r="A47" s="5" t="s">
        <v>80</v>
      </c>
      <c r="B47" s="6">
        <v>2929.0</v>
      </c>
      <c r="C47" s="6">
        <v>14864.55</v>
      </c>
    </row>
    <row r="48">
      <c r="A48" s="5" t="s">
        <v>81</v>
      </c>
      <c r="B48" s="6">
        <v>2890.0</v>
      </c>
      <c r="C48" s="6">
        <v>14894.9</v>
      </c>
    </row>
    <row r="49">
      <c r="A49" s="5" t="s">
        <v>82</v>
      </c>
      <c r="B49" s="6">
        <v>2840.0</v>
      </c>
      <c r="C49" s="6">
        <v>14631.1</v>
      </c>
    </row>
    <row r="50">
      <c r="A50" s="5">
        <v>44260.0</v>
      </c>
      <c r="B50" s="6">
        <v>2904.0</v>
      </c>
      <c r="C50" s="6">
        <v>14634.15</v>
      </c>
    </row>
    <row r="51">
      <c r="A51" s="5">
        <v>44291.0</v>
      </c>
      <c r="B51" s="6">
        <v>2855.0</v>
      </c>
      <c r="C51" s="6">
        <v>14496.5</v>
      </c>
    </row>
    <row r="52">
      <c r="A52" s="5">
        <v>44321.0</v>
      </c>
      <c r="B52" s="6">
        <v>2859.95</v>
      </c>
      <c r="C52" s="6">
        <v>14617.85</v>
      </c>
    </row>
    <row r="53">
      <c r="A53" s="5">
        <v>44352.0</v>
      </c>
      <c r="B53" s="6">
        <v>2878.0</v>
      </c>
      <c r="C53" s="6">
        <v>14724.8</v>
      </c>
    </row>
    <row r="54">
      <c r="A54" s="5">
        <v>44382.0</v>
      </c>
      <c r="B54" s="6">
        <v>2880.0</v>
      </c>
      <c r="C54" s="6">
        <v>14823.15</v>
      </c>
    </row>
    <row r="55">
      <c r="A55" s="5">
        <v>44474.0</v>
      </c>
      <c r="B55" s="6">
        <v>2850.0</v>
      </c>
      <c r="C55" s="6">
        <v>14942.35</v>
      </c>
    </row>
    <row r="56">
      <c r="A56" s="5">
        <v>44505.0</v>
      </c>
      <c r="B56" s="6">
        <v>2849.0</v>
      </c>
      <c r="C56" s="6">
        <v>14850.75</v>
      </c>
    </row>
    <row r="57">
      <c r="A57" s="5">
        <v>44535.0</v>
      </c>
      <c r="B57" s="6">
        <v>2856.0</v>
      </c>
      <c r="C57" s="6">
        <v>14696.5</v>
      </c>
    </row>
    <row r="58">
      <c r="A58" s="5" t="s">
        <v>83</v>
      </c>
      <c r="B58" s="6">
        <v>2834.0</v>
      </c>
      <c r="C58" s="6">
        <v>14677.8</v>
      </c>
    </row>
    <row r="59">
      <c r="A59" s="5" t="s">
        <v>84</v>
      </c>
      <c r="B59" s="6">
        <v>2899.8</v>
      </c>
      <c r="C59" s="6">
        <v>14923.15</v>
      </c>
    </row>
    <row r="60">
      <c r="A60" s="5" t="s">
        <v>85</v>
      </c>
      <c r="B60" s="6">
        <v>3071.0</v>
      </c>
      <c r="C60" s="6">
        <v>15108.1</v>
      </c>
    </row>
    <row r="61">
      <c r="A61" s="5" t="s">
        <v>86</v>
      </c>
      <c r="B61" s="6">
        <v>3025.0</v>
      </c>
      <c r="C61" s="6">
        <v>15030.15</v>
      </c>
    </row>
    <row r="62">
      <c r="A62" s="5" t="s">
        <v>87</v>
      </c>
      <c r="B62" s="6">
        <v>3030.0</v>
      </c>
      <c r="C62" s="6">
        <v>14906.05</v>
      </c>
    </row>
    <row r="63">
      <c r="A63" s="5" t="s">
        <v>88</v>
      </c>
      <c r="B63" s="6">
        <v>3035.0</v>
      </c>
      <c r="C63" s="6">
        <v>15175.3</v>
      </c>
    </row>
    <row r="64">
      <c r="A64" s="5" t="s">
        <v>89</v>
      </c>
      <c r="B64" s="6">
        <v>3052.05</v>
      </c>
      <c r="C64" s="6">
        <v>15197.7</v>
      </c>
    </row>
    <row r="65">
      <c r="A65" s="5" t="s">
        <v>90</v>
      </c>
      <c r="B65" s="6">
        <v>3100.0</v>
      </c>
      <c r="C65" s="6">
        <v>15208.45</v>
      </c>
    </row>
    <row r="66">
      <c r="A66" s="5" t="s">
        <v>91</v>
      </c>
      <c r="B66" s="6">
        <v>3090.0</v>
      </c>
      <c r="C66" s="6">
        <v>15301.45</v>
      </c>
    </row>
    <row r="67">
      <c r="A67" s="5" t="s">
        <v>92</v>
      </c>
      <c r="B67" s="6">
        <v>3030.0</v>
      </c>
      <c r="C67" s="6">
        <v>15337.85</v>
      </c>
    </row>
    <row r="68">
      <c r="A68" s="5" t="s">
        <v>93</v>
      </c>
      <c r="B68" s="6">
        <v>3022.0</v>
      </c>
      <c r="C68" s="6">
        <v>15435.65</v>
      </c>
    </row>
    <row r="69">
      <c r="A69" s="5" t="s">
        <v>94</v>
      </c>
      <c r="B69" s="6">
        <v>3070.0</v>
      </c>
      <c r="C69" s="6">
        <v>15582.8</v>
      </c>
    </row>
    <row r="70">
      <c r="A70" s="5">
        <v>44202.0</v>
      </c>
      <c r="B70" s="6">
        <v>3048.0</v>
      </c>
      <c r="C70" s="6">
        <v>15574.85</v>
      </c>
    </row>
    <row r="71">
      <c r="A71" s="5">
        <v>44233.0</v>
      </c>
      <c r="B71" s="6">
        <v>3064.5</v>
      </c>
      <c r="C71" s="6">
        <v>15576.2</v>
      </c>
    </row>
    <row r="72">
      <c r="A72" s="5">
        <v>44261.0</v>
      </c>
      <c r="B72" s="6">
        <v>3194.0</v>
      </c>
      <c r="C72" s="6">
        <v>15690.35</v>
      </c>
    </row>
    <row r="73">
      <c r="A73" s="5">
        <v>44292.0</v>
      </c>
      <c r="B73" s="6">
        <v>3200.0</v>
      </c>
      <c r="C73" s="6">
        <v>15670.25</v>
      </c>
    </row>
    <row r="74">
      <c r="A74" s="5">
        <v>44383.0</v>
      </c>
      <c r="B74" s="6">
        <v>3176.5</v>
      </c>
      <c r="C74" s="6">
        <v>15751.65</v>
      </c>
    </row>
    <row r="75">
      <c r="A75" s="5">
        <v>44414.0</v>
      </c>
      <c r="B75" s="6">
        <v>3180.0</v>
      </c>
      <c r="C75" s="6">
        <v>15740.1</v>
      </c>
    </row>
    <row r="76">
      <c r="A76" s="5">
        <v>44445.0</v>
      </c>
      <c r="B76" s="6">
        <v>3187.9</v>
      </c>
      <c r="C76" s="6">
        <v>15635.35</v>
      </c>
    </row>
    <row r="77">
      <c r="A77" s="5">
        <v>44475.0</v>
      </c>
      <c r="B77" s="6">
        <v>3198.0</v>
      </c>
      <c r="C77" s="6">
        <v>15737.75</v>
      </c>
    </row>
    <row r="78">
      <c r="A78" s="5">
        <v>44506.0</v>
      </c>
      <c r="B78" s="6">
        <v>3185.0</v>
      </c>
      <c r="C78" s="6">
        <v>15799.35</v>
      </c>
    </row>
    <row r="79">
      <c r="A79" s="5" t="s">
        <v>95</v>
      </c>
      <c r="B79" s="6">
        <v>3276.4</v>
      </c>
      <c r="C79" s="6">
        <v>15811.85</v>
      </c>
    </row>
    <row r="80">
      <c r="A80" s="5" t="s">
        <v>96</v>
      </c>
      <c r="B80" s="6">
        <v>3360.0</v>
      </c>
      <c r="C80" s="6">
        <v>15869.25</v>
      </c>
    </row>
    <row r="81">
      <c r="A81" s="5" t="s">
        <v>97</v>
      </c>
      <c r="B81" s="6">
        <v>3292.0</v>
      </c>
      <c r="C81" s="6">
        <v>15767.55</v>
      </c>
    </row>
    <row r="82">
      <c r="A82" s="5" t="s">
        <v>98</v>
      </c>
      <c r="B82" s="6">
        <v>3286.15</v>
      </c>
      <c r="C82" s="6">
        <v>15691.4</v>
      </c>
    </row>
    <row r="83">
      <c r="A83" s="5" t="s">
        <v>99</v>
      </c>
      <c r="B83" s="6">
        <v>3323.0</v>
      </c>
      <c r="C83" s="6">
        <v>15683.35</v>
      </c>
    </row>
    <row r="84">
      <c r="A84" s="5" t="s">
        <v>100</v>
      </c>
      <c r="B84" s="6">
        <v>3312.6</v>
      </c>
      <c r="C84" s="6">
        <v>15746.5</v>
      </c>
    </row>
    <row r="85">
      <c r="A85" s="5" t="s">
        <v>101</v>
      </c>
      <c r="B85" s="6">
        <v>3380.0</v>
      </c>
      <c r="C85" s="6">
        <v>15772.75</v>
      </c>
    </row>
    <row r="86">
      <c r="A86" s="5" t="s">
        <v>102</v>
      </c>
      <c r="B86" s="6">
        <v>3320.0</v>
      </c>
      <c r="C86" s="6">
        <v>15686.95</v>
      </c>
    </row>
    <row r="87">
      <c r="A87" s="5" t="s">
        <v>103</v>
      </c>
      <c r="B87" s="6">
        <v>3325.0</v>
      </c>
      <c r="C87" s="6">
        <v>15790.45</v>
      </c>
    </row>
    <row r="88">
      <c r="A88" s="5" t="s">
        <v>104</v>
      </c>
      <c r="B88" s="6">
        <v>3313.1</v>
      </c>
      <c r="C88" s="6">
        <v>15860.35</v>
      </c>
    </row>
    <row r="89">
      <c r="A89" s="5" t="s">
        <v>105</v>
      </c>
      <c r="B89" s="6">
        <v>3331.5</v>
      </c>
      <c r="C89" s="6">
        <v>15814.7</v>
      </c>
    </row>
    <row r="90">
      <c r="A90" s="5" t="s">
        <v>106</v>
      </c>
      <c r="B90" s="6">
        <v>3270.0</v>
      </c>
      <c r="C90" s="6">
        <v>15748.45</v>
      </c>
    </row>
    <row r="91">
      <c r="A91" s="5" t="s">
        <v>107</v>
      </c>
      <c r="B91" s="6">
        <v>3350.0</v>
      </c>
      <c r="C91" s="6">
        <v>15721.5</v>
      </c>
    </row>
    <row r="92">
      <c r="A92" s="5">
        <v>44203.0</v>
      </c>
      <c r="B92" s="6">
        <v>3323.0</v>
      </c>
      <c r="C92" s="6">
        <v>15680.0</v>
      </c>
    </row>
    <row r="93">
      <c r="A93" s="5">
        <v>44234.0</v>
      </c>
      <c r="B93" s="6">
        <v>3318.0</v>
      </c>
      <c r="C93" s="6">
        <v>15722.2</v>
      </c>
    </row>
    <row r="94">
      <c r="A94" s="5">
        <v>44323.0</v>
      </c>
      <c r="B94" s="6">
        <v>3355.0</v>
      </c>
      <c r="C94" s="6">
        <v>15834.35</v>
      </c>
    </row>
    <row r="95">
      <c r="A95" s="5">
        <v>44354.0</v>
      </c>
      <c r="B95" s="6">
        <v>3370.05</v>
      </c>
      <c r="C95" s="6">
        <v>15818.25</v>
      </c>
    </row>
    <row r="96">
      <c r="A96" s="5">
        <v>44384.0</v>
      </c>
      <c r="B96" s="6">
        <v>3400.0</v>
      </c>
      <c r="C96" s="6">
        <v>15879.65</v>
      </c>
    </row>
    <row r="97">
      <c r="A97" s="5">
        <v>44415.0</v>
      </c>
      <c r="B97" s="6">
        <v>3389.9</v>
      </c>
      <c r="C97" s="6">
        <v>15727.9</v>
      </c>
    </row>
    <row r="98">
      <c r="A98" s="5">
        <v>44446.0</v>
      </c>
      <c r="B98" s="6">
        <v>3380.0</v>
      </c>
      <c r="C98" s="6">
        <v>15689.8</v>
      </c>
    </row>
    <row r="99">
      <c r="A99" s="5">
        <v>44537.0</v>
      </c>
      <c r="B99" s="6">
        <v>3347.0</v>
      </c>
      <c r="C99" s="6">
        <v>15692.6</v>
      </c>
    </row>
    <row r="100">
      <c r="A100" s="5" t="s">
        <v>108</v>
      </c>
      <c r="B100" s="6">
        <v>3347.15</v>
      </c>
      <c r="C100" s="6">
        <v>15812.35</v>
      </c>
    </row>
    <row r="101">
      <c r="A101" s="5" t="s">
        <v>109</v>
      </c>
      <c r="B101" s="6">
        <v>3330.0</v>
      </c>
      <c r="C101" s="6">
        <v>15853.95</v>
      </c>
    </row>
    <row r="102">
      <c r="A102" s="5" t="s">
        <v>110</v>
      </c>
      <c r="B102" s="6">
        <v>3314.0</v>
      </c>
      <c r="C102" s="6">
        <v>15924.2</v>
      </c>
    </row>
    <row r="103">
      <c r="A103" s="5" t="s">
        <v>111</v>
      </c>
      <c r="B103" s="6">
        <v>3349.0</v>
      </c>
      <c r="C103" s="6">
        <v>15923.4</v>
      </c>
    </row>
    <row r="104">
      <c r="A104" s="5" t="s">
        <v>112</v>
      </c>
      <c r="B104" s="6">
        <v>3323.0</v>
      </c>
      <c r="C104" s="6">
        <v>15752.4</v>
      </c>
    </row>
    <row r="105">
      <c r="A105" s="5" t="s">
        <v>113</v>
      </c>
      <c r="B105" s="6">
        <v>3394.0</v>
      </c>
      <c r="C105" s="6">
        <v>15632.1</v>
      </c>
    </row>
    <row r="106">
      <c r="A106" s="5" t="s">
        <v>114</v>
      </c>
      <c r="B106" s="6">
        <v>3400.0</v>
      </c>
      <c r="C106" s="6">
        <v>15824.05</v>
      </c>
    </row>
    <row r="107">
      <c r="A107" s="5" t="s">
        <v>115</v>
      </c>
      <c r="B107" s="6">
        <v>3407.0</v>
      </c>
      <c r="C107" s="6">
        <v>15856.05</v>
      </c>
    </row>
    <row r="108">
      <c r="A108" s="5" t="s">
        <v>116</v>
      </c>
      <c r="B108" s="6">
        <v>3485.0</v>
      </c>
      <c r="C108" s="6">
        <v>15824.45</v>
      </c>
    </row>
    <row r="109">
      <c r="A109" s="5" t="s">
        <v>117</v>
      </c>
      <c r="B109" s="6">
        <v>3494.55</v>
      </c>
      <c r="C109" s="6">
        <v>15746.45</v>
      </c>
    </row>
    <row r="110">
      <c r="A110" s="5" t="s">
        <v>118</v>
      </c>
      <c r="B110" s="6">
        <v>3485.0</v>
      </c>
      <c r="C110" s="6">
        <v>15709.4</v>
      </c>
    </row>
    <row r="111">
      <c r="A111" s="5" t="s">
        <v>119</v>
      </c>
      <c r="B111" s="6">
        <v>3500.0</v>
      </c>
      <c r="C111" s="6">
        <v>15778.45</v>
      </c>
    </row>
    <row r="112">
      <c r="A112" s="5" t="s">
        <v>120</v>
      </c>
      <c r="B112" s="6">
        <v>3501.0</v>
      </c>
      <c r="C112" s="6">
        <v>15763.05</v>
      </c>
    </row>
    <row r="113">
      <c r="A113" s="5">
        <v>44235.0</v>
      </c>
      <c r="B113" s="6">
        <v>3506.95</v>
      </c>
      <c r="C113" s="6">
        <v>15885.15</v>
      </c>
    </row>
    <row r="114">
      <c r="A114" s="5">
        <v>44263.0</v>
      </c>
      <c r="B114" s="6">
        <v>3575.0</v>
      </c>
      <c r="C114" s="6">
        <v>16130.75</v>
      </c>
    </row>
    <row r="115">
      <c r="A115" s="5">
        <v>44294.0</v>
      </c>
      <c r="B115" s="6">
        <v>3601.55</v>
      </c>
      <c r="C115" s="6">
        <v>16258.8</v>
      </c>
    </row>
    <row r="116">
      <c r="A116" s="5">
        <v>44324.0</v>
      </c>
      <c r="B116" s="6">
        <v>3570.0</v>
      </c>
      <c r="C116" s="6">
        <v>16294.6</v>
      </c>
    </row>
    <row r="117">
      <c r="A117" s="5">
        <v>44355.0</v>
      </c>
      <c r="B117" s="6">
        <v>3528.0</v>
      </c>
      <c r="C117" s="6">
        <v>16238.2</v>
      </c>
    </row>
    <row r="118">
      <c r="A118" s="5">
        <v>44447.0</v>
      </c>
      <c r="B118" s="6">
        <v>3525.0</v>
      </c>
      <c r="C118" s="6">
        <v>16258.25</v>
      </c>
    </row>
    <row r="119">
      <c r="A119" s="5">
        <v>44477.0</v>
      </c>
      <c r="B119" s="6">
        <v>3555.0</v>
      </c>
      <c r="C119" s="6">
        <v>16280.1</v>
      </c>
    </row>
    <row r="120">
      <c r="A120" s="5">
        <v>44508.0</v>
      </c>
      <c r="B120" s="6">
        <v>3575.0</v>
      </c>
      <c r="C120" s="6">
        <v>16282.25</v>
      </c>
    </row>
    <row r="121">
      <c r="A121" s="5">
        <v>44538.0</v>
      </c>
      <c r="B121" s="6">
        <v>3550.0</v>
      </c>
      <c r="C121" s="6">
        <v>16364.4</v>
      </c>
    </row>
    <row r="122">
      <c r="A122" s="5" t="s">
        <v>121</v>
      </c>
      <c r="B122" s="6">
        <v>3585.0</v>
      </c>
      <c r="C122" s="6">
        <v>16529.1</v>
      </c>
    </row>
    <row r="123">
      <c r="A123" s="5" t="s">
        <v>122</v>
      </c>
      <c r="B123" s="6">
        <v>3617.0</v>
      </c>
      <c r="C123" s="6">
        <v>16563.05</v>
      </c>
    </row>
    <row r="124">
      <c r="A124" s="5" t="s">
        <v>123</v>
      </c>
      <c r="B124" s="6">
        <v>3628.1</v>
      </c>
      <c r="C124" s="6">
        <v>16614.6</v>
      </c>
    </row>
    <row r="125">
      <c r="A125" s="5" t="s">
        <v>124</v>
      </c>
      <c r="B125" s="6">
        <v>3649.8</v>
      </c>
      <c r="C125" s="6">
        <v>16568.85</v>
      </c>
    </row>
    <row r="126">
      <c r="A126" s="5" t="s">
        <v>125</v>
      </c>
      <c r="B126" s="6">
        <v>3641.0</v>
      </c>
      <c r="C126" s="6">
        <v>16450.5</v>
      </c>
    </row>
    <row r="127">
      <c r="A127" s="5" t="s">
        <v>126</v>
      </c>
      <c r="B127" s="6">
        <v>3699.8</v>
      </c>
      <c r="C127" s="6">
        <v>16496.45</v>
      </c>
    </row>
    <row r="128">
      <c r="A128" s="5" t="s">
        <v>127</v>
      </c>
      <c r="B128" s="6">
        <v>3699.55</v>
      </c>
      <c r="C128" s="6">
        <v>16624.6</v>
      </c>
    </row>
    <row r="129">
      <c r="A129" s="5" t="s">
        <v>128</v>
      </c>
      <c r="B129" s="6">
        <v>3780.0</v>
      </c>
      <c r="C129" s="6">
        <v>16634.65</v>
      </c>
    </row>
    <row r="130">
      <c r="A130" s="5" t="s">
        <v>129</v>
      </c>
      <c r="B130" s="6">
        <v>3860.0</v>
      </c>
      <c r="C130" s="6">
        <v>16636.9</v>
      </c>
    </row>
    <row r="131">
      <c r="A131" s="5" t="s">
        <v>130</v>
      </c>
      <c r="B131" s="6">
        <v>3824.0</v>
      </c>
      <c r="C131" s="6">
        <v>16705.2</v>
      </c>
    </row>
    <row r="132">
      <c r="A132" s="5" t="s">
        <v>131</v>
      </c>
      <c r="B132" s="6">
        <v>3899.0</v>
      </c>
      <c r="C132" s="6">
        <v>16931.05</v>
      </c>
    </row>
    <row r="133">
      <c r="A133" s="5" t="s">
        <v>132</v>
      </c>
      <c r="B133" s="6">
        <v>3950.0</v>
      </c>
      <c r="C133" s="6">
        <v>17132.2</v>
      </c>
    </row>
    <row r="134">
      <c r="A134" s="5">
        <v>44205.0</v>
      </c>
      <c r="B134" s="6">
        <v>3963.0</v>
      </c>
      <c r="C134" s="6">
        <v>17076.25</v>
      </c>
    </row>
    <row r="135">
      <c r="A135" s="5">
        <v>44236.0</v>
      </c>
      <c r="B135" s="6">
        <v>3922.5</v>
      </c>
      <c r="C135" s="6">
        <v>17234.15</v>
      </c>
    </row>
    <row r="136">
      <c r="A136" s="5">
        <v>44264.0</v>
      </c>
      <c r="B136" s="6">
        <v>3939.0</v>
      </c>
      <c r="C136" s="6">
        <v>17323.6</v>
      </c>
    </row>
    <row r="137">
      <c r="A137" s="5">
        <v>44356.0</v>
      </c>
      <c r="B137" s="6">
        <v>3924.0</v>
      </c>
      <c r="C137" s="6">
        <v>17377.8</v>
      </c>
    </row>
    <row r="138">
      <c r="A138" s="5">
        <v>44386.0</v>
      </c>
      <c r="B138" s="6">
        <v>3930.0</v>
      </c>
      <c r="C138" s="6">
        <v>17362.1</v>
      </c>
    </row>
    <row r="139">
      <c r="A139" s="5">
        <v>44417.0</v>
      </c>
      <c r="B139" s="6">
        <v>3926.0</v>
      </c>
      <c r="C139" s="6">
        <v>17353.5</v>
      </c>
    </row>
    <row r="140">
      <c r="A140" s="5">
        <v>44448.0</v>
      </c>
      <c r="B140" s="6">
        <v>3962.0</v>
      </c>
      <c r="C140" s="6">
        <v>17369.25</v>
      </c>
    </row>
    <row r="141">
      <c r="A141" s="5" t="s">
        <v>133</v>
      </c>
      <c r="B141" s="6">
        <v>3960.0</v>
      </c>
      <c r="C141" s="6">
        <v>17355.3</v>
      </c>
    </row>
    <row r="142">
      <c r="A142" s="5" t="s">
        <v>134</v>
      </c>
      <c r="B142" s="6">
        <v>3978.0</v>
      </c>
      <c r="C142" s="6">
        <v>17380.0</v>
      </c>
    </row>
    <row r="143">
      <c r="A143" s="5" t="s">
        <v>135</v>
      </c>
      <c r="B143" s="6">
        <v>3980.15</v>
      </c>
      <c r="C143" s="6">
        <v>17519.45</v>
      </c>
    </row>
    <row r="144">
      <c r="A144" s="5" t="s">
        <v>136</v>
      </c>
      <c r="B144" s="6">
        <v>4085.0</v>
      </c>
      <c r="C144" s="6">
        <v>17629.5</v>
      </c>
    </row>
    <row r="145">
      <c r="A145" s="5" t="s">
        <v>137</v>
      </c>
      <c r="B145" s="6">
        <v>4196.7</v>
      </c>
      <c r="C145" s="6">
        <v>17585.15</v>
      </c>
    </row>
    <row r="146">
      <c r="A146" s="5" t="s">
        <v>138</v>
      </c>
      <c r="B146" s="6">
        <v>4428.0</v>
      </c>
      <c r="C146" s="6">
        <v>17396.9</v>
      </c>
    </row>
    <row r="147">
      <c r="A147" s="5" t="s">
        <v>139</v>
      </c>
      <c r="B147" s="6">
        <v>4340.3</v>
      </c>
      <c r="C147" s="6">
        <v>17562.0</v>
      </c>
    </row>
    <row r="148">
      <c r="A148" s="5" t="s">
        <v>140</v>
      </c>
      <c r="B148" s="6">
        <v>4383.0</v>
      </c>
      <c r="C148" s="6">
        <v>17546.65</v>
      </c>
    </row>
    <row r="149">
      <c r="A149" s="5" t="s">
        <v>141</v>
      </c>
      <c r="B149" s="6">
        <v>4408.55</v>
      </c>
      <c r="C149" s="6">
        <v>17822.95</v>
      </c>
    </row>
    <row r="150">
      <c r="A150" s="5" t="s">
        <v>142</v>
      </c>
      <c r="B150" s="6">
        <v>4420.0</v>
      </c>
      <c r="C150" s="6">
        <v>17853.2</v>
      </c>
    </row>
    <row r="151">
      <c r="A151" s="5" t="s">
        <v>143</v>
      </c>
      <c r="B151" s="6">
        <v>4400.5</v>
      </c>
      <c r="C151" s="6">
        <v>17855.1</v>
      </c>
    </row>
    <row r="152">
      <c r="A152" s="5" t="s">
        <v>144</v>
      </c>
      <c r="B152" s="6">
        <v>4315.0</v>
      </c>
      <c r="C152" s="6">
        <v>17748.6</v>
      </c>
    </row>
    <row r="153">
      <c r="A153" s="5" t="s">
        <v>145</v>
      </c>
      <c r="B153" s="6">
        <v>4241.35</v>
      </c>
      <c r="C153" s="6">
        <v>17711.3</v>
      </c>
    </row>
    <row r="154">
      <c r="A154" s="5" t="s">
        <v>146</v>
      </c>
      <c r="B154" s="6">
        <v>4241.0</v>
      </c>
      <c r="C154" s="6">
        <v>17618.15</v>
      </c>
    </row>
    <row r="155">
      <c r="A155" s="5">
        <v>44206.0</v>
      </c>
      <c r="B155" s="6">
        <v>4242.0</v>
      </c>
      <c r="C155" s="6">
        <v>17532.05</v>
      </c>
    </row>
    <row r="156">
      <c r="A156" s="5">
        <v>44296.0</v>
      </c>
      <c r="B156" s="6">
        <v>4258.0</v>
      </c>
      <c r="C156" s="6">
        <v>17691.25</v>
      </c>
    </row>
    <row r="157">
      <c r="A157" s="5">
        <v>44326.0</v>
      </c>
      <c r="B157" s="6">
        <v>4257.1</v>
      </c>
      <c r="C157" s="6">
        <v>17822.3</v>
      </c>
    </row>
    <row r="158">
      <c r="A158" s="5">
        <v>44357.0</v>
      </c>
      <c r="B158" s="6">
        <v>4210.15</v>
      </c>
      <c r="C158" s="6">
        <v>17646.0</v>
      </c>
    </row>
    <row r="159">
      <c r="A159" s="5">
        <v>44387.0</v>
      </c>
      <c r="B159" s="6">
        <v>4310.0</v>
      </c>
      <c r="C159" s="6">
        <v>17790.35</v>
      </c>
    </row>
    <row r="160">
      <c r="A160" s="5">
        <v>44418.0</v>
      </c>
      <c r="B160" s="6">
        <v>4400.0</v>
      </c>
      <c r="C160" s="6">
        <v>17895.2</v>
      </c>
    </row>
    <row r="161">
      <c r="A161" s="5">
        <v>44510.0</v>
      </c>
      <c r="B161" s="6">
        <v>4716.5</v>
      </c>
      <c r="C161" s="6">
        <v>17945.95</v>
      </c>
    </row>
    <row r="162">
      <c r="A162" s="5">
        <v>44540.0</v>
      </c>
      <c r="B162" s="6">
        <v>4739.0</v>
      </c>
      <c r="C162" s="6">
        <v>17991.95</v>
      </c>
    </row>
    <row r="163">
      <c r="A163" s="5" t="s">
        <v>147</v>
      </c>
      <c r="B163" s="6">
        <v>5112.0</v>
      </c>
      <c r="C163" s="6">
        <v>18161.75</v>
      </c>
    </row>
    <row r="164">
      <c r="A164" s="5" t="s">
        <v>148</v>
      </c>
      <c r="B164" s="6">
        <v>5360.0</v>
      </c>
      <c r="C164" s="6">
        <v>18338.55</v>
      </c>
    </row>
    <row r="165">
      <c r="A165" s="5" t="s">
        <v>149</v>
      </c>
      <c r="B165" s="6">
        <v>4920.0</v>
      </c>
      <c r="C165" s="6">
        <v>18477.05</v>
      </c>
    </row>
    <row r="166">
      <c r="A166" s="5" t="s">
        <v>150</v>
      </c>
      <c r="B166" s="6">
        <v>4788.95</v>
      </c>
      <c r="C166" s="6">
        <v>18418.75</v>
      </c>
    </row>
    <row r="167">
      <c r="A167" s="5" t="s">
        <v>151</v>
      </c>
      <c r="B167" s="6">
        <v>4636.85</v>
      </c>
      <c r="C167" s="6">
        <v>18266.6</v>
      </c>
    </row>
    <row r="168">
      <c r="A168" s="5" t="s">
        <v>152</v>
      </c>
      <c r="B168" s="6">
        <v>4528.95</v>
      </c>
      <c r="C168" s="6">
        <v>18178.1</v>
      </c>
    </row>
    <row r="169">
      <c r="A169" s="5" t="s">
        <v>153</v>
      </c>
      <c r="B169" s="6">
        <v>4515.0</v>
      </c>
      <c r="C169" s="6">
        <v>18114.9</v>
      </c>
    </row>
    <row r="170">
      <c r="A170" s="5" t="s">
        <v>154</v>
      </c>
      <c r="B170" s="6">
        <v>4392.0</v>
      </c>
      <c r="C170" s="6">
        <v>18125.4</v>
      </c>
    </row>
    <row r="171">
      <c r="A171" s="5" t="s">
        <v>155</v>
      </c>
      <c r="B171" s="6">
        <v>4580.0</v>
      </c>
      <c r="C171" s="6">
        <v>18268.4</v>
      </c>
    </row>
    <row r="172">
      <c r="A172" s="5" t="s">
        <v>156</v>
      </c>
      <c r="B172" s="6">
        <v>4730.5</v>
      </c>
      <c r="C172" s="6">
        <v>18210.95</v>
      </c>
    </row>
    <row r="173">
      <c r="A173" s="5" t="s">
        <v>157</v>
      </c>
      <c r="B173" s="6">
        <v>4675.15</v>
      </c>
      <c r="C173" s="6">
        <v>17857.25</v>
      </c>
    </row>
    <row r="174">
      <c r="A174" s="5" t="s">
        <v>158</v>
      </c>
      <c r="B174" s="6">
        <v>4622.0</v>
      </c>
      <c r="C174" s="6">
        <v>17671.65</v>
      </c>
    </row>
    <row r="175">
      <c r="A175" s="5">
        <v>44207.0</v>
      </c>
      <c r="B175" s="6">
        <v>4570.0</v>
      </c>
      <c r="C175" s="6">
        <v>17929.65</v>
      </c>
    </row>
    <row r="176">
      <c r="A176" s="5">
        <v>44238.0</v>
      </c>
      <c r="B176" s="6">
        <v>4600.0</v>
      </c>
      <c r="C176" s="6">
        <v>17888.95</v>
      </c>
    </row>
    <row r="177">
      <c r="A177" s="5">
        <v>44266.0</v>
      </c>
      <c r="B177" s="6">
        <v>4766.0</v>
      </c>
      <c r="C177" s="6">
        <v>17829.2</v>
      </c>
    </row>
    <row r="178">
      <c r="A178" s="5">
        <v>44297.0</v>
      </c>
      <c r="B178" s="6">
        <v>4789.5</v>
      </c>
      <c r="C178" s="6">
        <v>17916.8</v>
      </c>
    </row>
    <row r="179">
      <c r="A179" s="5">
        <v>44419.0</v>
      </c>
      <c r="B179" s="6">
        <v>4752.6</v>
      </c>
      <c r="C179" s="6">
        <v>18068.55</v>
      </c>
    </row>
    <row r="180">
      <c r="A180" s="5">
        <v>44450.0</v>
      </c>
      <c r="B180" s="6">
        <v>4749.0</v>
      </c>
      <c r="C180" s="6">
        <v>18044.25</v>
      </c>
    </row>
    <row r="181">
      <c r="A181" s="5">
        <v>44480.0</v>
      </c>
      <c r="B181" s="6">
        <v>4975.0</v>
      </c>
      <c r="C181" s="6">
        <v>18017.2</v>
      </c>
    </row>
    <row r="182">
      <c r="A182" s="5">
        <v>44511.0</v>
      </c>
      <c r="B182" s="6">
        <v>4998.0</v>
      </c>
      <c r="C182" s="6">
        <v>17873.6</v>
      </c>
    </row>
    <row r="183">
      <c r="A183" s="5">
        <v>44541.0</v>
      </c>
      <c r="B183" s="6">
        <v>5060.0</v>
      </c>
      <c r="C183" s="6">
        <v>18102.75</v>
      </c>
    </row>
    <row r="184">
      <c r="A184" s="5" t="s">
        <v>159</v>
      </c>
      <c r="B184" s="6">
        <v>5024.4</v>
      </c>
      <c r="C184" s="6">
        <v>18109.45</v>
      </c>
    </row>
    <row r="185">
      <c r="A185" s="5" t="s">
        <v>160</v>
      </c>
      <c r="B185" s="6">
        <v>5070.0</v>
      </c>
      <c r="C185" s="6">
        <v>17999.2</v>
      </c>
    </row>
    <row r="186">
      <c r="A186" s="5" t="s">
        <v>161</v>
      </c>
      <c r="B186" s="6">
        <v>5123.0</v>
      </c>
      <c r="C186" s="6">
        <v>17898.65</v>
      </c>
    </row>
    <row r="187">
      <c r="A187" s="5" t="s">
        <v>162</v>
      </c>
      <c r="B187" s="6">
        <v>5060.05</v>
      </c>
      <c r="C187" s="6">
        <v>17764.8</v>
      </c>
    </row>
    <row r="188">
      <c r="A188" s="5" t="s">
        <v>163</v>
      </c>
      <c r="B188" s="6">
        <v>4829.0</v>
      </c>
      <c r="C188" s="6">
        <v>17416.55</v>
      </c>
    </row>
    <row r="189">
      <c r="A189" s="5" t="s">
        <v>164</v>
      </c>
      <c r="B189" s="6">
        <v>4840.0</v>
      </c>
      <c r="C189" s="6">
        <v>17503.35</v>
      </c>
    </row>
    <row r="190">
      <c r="A190" s="5" t="s">
        <v>165</v>
      </c>
      <c r="B190" s="6">
        <v>4869.0</v>
      </c>
      <c r="C190" s="6">
        <v>17415.05</v>
      </c>
    </row>
    <row r="191">
      <c r="A191" s="5" t="s">
        <v>166</v>
      </c>
      <c r="B191" s="6">
        <v>4884.2</v>
      </c>
      <c r="C191" s="6">
        <v>17536.25</v>
      </c>
    </row>
    <row r="192">
      <c r="A192" s="5" t="s">
        <v>167</v>
      </c>
      <c r="B192" s="6">
        <v>4720.05</v>
      </c>
      <c r="C192" s="6">
        <v>17026.45</v>
      </c>
    </row>
    <row r="193">
      <c r="A193" s="5" t="s">
        <v>168</v>
      </c>
      <c r="B193" s="6">
        <v>4669.45</v>
      </c>
      <c r="C193" s="6">
        <v>17053.95</v>
      </c>
    </row>
    <row r="194">
      <c r="A194" s="5" t="s">
        <v>169</v>
      </c>
      <c r="B194" s="6">
        <v>4725.0</v>
      </c>
      <c r="C194" s="6">
        <v>16983.2</v>
      </c>
    </row>
    <row r="195">
      <c r="A195" s="5">
        <v>44208.0</v>
      </c>
      <c r="B195" s="6">
        <v>4698.0</v>
      </c>
      <c r="C195" s="6">
        <v>17166.9</v>
      </c>
    </row>
    <row r="196">
      <c r="A196" s="5">
        <v>44239.0</v>
      </c>
      <c r="B196" s="6">
        <v>4780.0</v>
      </c>
      <c r="C196" s="6">
        <v>17401.65</v>
      </c>
    </row>
    <row r="197">
      <c r="A197" s="5">
        <v>44267.0</v>
      </c>
      <c r="B197" s="6">
        <v>4801.05</v>
      </c>
      <c r="C197" s="6">
        <v>17196.7</v>
      </c>
    </row>
    <row r="198">
      <c r="A198" s="5">
        <v>44359.0</v>
      </c>
      <c r="B198" s="6">
        <v>4608.0</v>
      </c>
      <c r="C198" s="6">
        <v>16912.25</v>
      </c>
    </row>
    <row r="199">
      <c r="A199" s="5">
        <v>44389.0</v>
      </c>
      <c r="B199" s="6">
        <v>4672.6</v>
      </c>
      <c r="C199" s="6">
        <v>17176.7</v>
      </c>
    </row>
    <row r="200">
      <c r="A200" s="5">
        <v>44420.0</v>
      </c>
      <c r="B200" s="6">
        <v>4818.0</v>
      </c>
      <c r="C200" s="6">
        <v>17469.75</v>
      </c>
    </row>
    <row r="201">
      <c r="A201" s="5">
        <v>44451.0</v>
      </c>
      <c r="B201" s="6">
        <v>4815.0</v>
      </c>
      <c r="C201" s="6">
        <v>17516.85</v>
      </c>
    </row>
    <row r="202">
      <c r="A202" s="5">
        <v>44481.0</v>
      </c>
      <c r="B202" s="6">
        <v>4799.0</v>
      </c>
      <c r="C202" s="6">
        <v>17511.3</v>
      </c>
    </row>
    <row r="203">
      <c r="A203" s="5" t="s">
        <v>170</v>
      </c>
      <c r="B203" s="6">
        <v>4761.8</v>
      </c>
      <c r="C203" s="6">
        <v>17368.25</v>
      </c>
    </row>
    <row r="204">
      <c r="A204" s="5" t="s">
        <v>171</v>
      </c>
      <c r="B204" s="6">
        <v>4809.0</v>
      </c>
      <c r="C204" s="6">
        <v>17324.9</v>
      </c>
    </row>
    <row r="205">
      <c r="A205" s="5" t="s">
        <v>172</v>
      </c>
      <c r="B205" s="6">
        <v>4759.0</v>
      </c>
      <c r="C205" s="6">
        <v>17221.4</v>
      </c>
    </row>
    <row r="206">
      <c r="A206" s="5" t="s">
        <v>173</v>
      </c>
      <c r="B206" s="6">
        <v>4749.0</v>
      </c>
      <c r="C206" s="6">
        <v>17248.4</v>
      </c>
    </row>
    <row r="207">
      <c r="A207" s="5" t="s">
        <v>174</v>
      </c>
      <c r="B207" s="6">
        <v>4699.8</v>
      </c>
      <c r="C207" s="6">
        <v>16985.2</v>
      </c>
    </row>
    <row r="208">
      <c r="A208" s="5" t="s">
        <v>175</v>
      </c>
      <c r="B208" s="6">
        <v>4600.0</v>
      </c>
      <c r="C208" s="6">
        <v>16614.2</v>
      </c>
    </row>
    <row r="209">
      <c r="A209" s="5" t="s">
        <v>176</v>
      </c>
      <c r="B209" s="6">
        <v>4585.0</v>
      </c>
      <c r="C209" s="6">
        <v>16770.85</v>
      </c>
    </row>
    <row r="210">
      <c r="A210" s="5" t="s">
        <v>177</v>
      </c>
      <c r="B210" s="6">
        <v>4685.0</v>
      </c>
      <c r="C210" s="6">
        <v>16955.45</v>
      </c>
    </row>
    <row r="211">
      <c r="A211" s="5" t="s">
        <v>178</v>
      </c>
      <c r="B211" s="6">
        <v>4650.0</v>
      </c>
      <c r="C211" s="6">
        <v>17072.6</v>
      </c>
    </row>
    <row r="212">
      <c r="A212" s="5" t="s">
        <v>179</v>
      </c>
      <c r="B212" s="6">
        <v>4624.9</v>
      </c>
      <c r="C212" s="6">
        <v>17003.75</v>
      </c>
    </row>
    <row r="213">
      <c r="A213" s="5" t="s">
        <v>180</v>
      </c>
      <c r="B213" s="6">
        <v>4675.0</v>
      </c>
      <c r="C213" s="6">
        <v>17086.25</v>
      </c>
    </row>
    <row r="214">
      <c r="A214" s="5" t="s">
        <v>181</v>
      </c>
      <c r="B214" s="6">
        <v>4719.4</v>
      </c>
      <c r="C214" s="6">
        <v>17233.25</v>
      </c>
    </row>
    <row r="215">
      <c r="A215" s="5" t="s">
        <v>182</v>
      </c>
      <c r="B215" s="6">
        <v>4677.5</v>
      </c>
      <c r="C215" s="6">
        <v>17213.6</v>
      </c>
    </row>
    <row r="216">
      <c r="A216" s="5" t="s">
        <v>183</v>
      </c>
      <c r="B216" s="6">
        <v>4630.7</v>
      </c>
      <c r="C216" s="6">
        <v>17203.95</v>
      </c>
    </row>
    <row r="217">
      <c r="A217" s="5" t="s">
        <v>184</v>
      </c>
      <c r="B217" s="6">
        <v>4665.0</v>
      </c>
      <c r="C217" s="6">
        <v>17354.05</v>
      </c>
    </row>
    <row r="218">
      <c r="A218" s="5">
        <v>44621.0</v>
      </c>
      <c r="B218" s="6">
        <v>4709.0</v>
      </c>
      <c r="C218" s="6">
        <v>17625.7</v>
      </c>
    </row>
    <row r="219">
      <c r="A219" s="5">
        <v>44652.0</v>
      </c>
      <c r="B219" s="6">
        <v>4728.9</v>
      </c>
      <c r="C219" s="6">
        <v>17805.25</v>
      </c>
    </row>
    <row r="220">
      <c r="A220" s="5">
        <v>44682.0</v>
      </c>
      <c r="B220" s="6">
        <v>4682.0</v>
      </c>
      <c r="C220" s="6">
        <v>17925.25</v>
      </c>
    </row>
    <row r="221">
      <c r="A221" s="5">
        <v>44713.0</v>
      </c>
      <c r="B221" s="6">
        <v>4705.0</v>
      </c>
      <c r="C221" s="6">
        <v>17745.9</v>
      </c>
    </row>
    <row r="222">
      <c r="A222" s="5">
        <v>44743.0</v>
      </c>
      <c r="B222" s="6">
        <v>4744.95</v>
      </c>
      <c r="C222" s="6">
        <v>17812.7</v>
      </c>
    </row>
    <row r="223">
      <c r="A223" s="5">
        <v>44835.0</v>
      </c>
      <c r="B223" s="6">
        <v>4635.0</v>
      </c>
      <c r="C223" s="6">
        <v>18003.3</v>
      </c>
    </row>
    <row r="224">
      <c r="A224" s="5">
        <v>44866.0</v>
      </c>
      <c r="B224" s="6">
        <v>4510.0</v>
      </c>
      <c r="C224" s="6">
        <v>18055.75</v>
      </c>
    </row>
    <row r="225">
      <c r="A225" s="5">
        <v>44896.0</v>
      </c>
      <c r="B225" s="6">
        <v>4288.95</v>
      </c>
      <c r="C225" s="6">
        <v>18212.35</v>
      </c>
    </row>
    <row r="226">
      <c r="A226" s="5" t="s">
        <v>185</v>
      </c>
      <c r="B226" s="6">
        <v>4253.0</v>
      </c>
      <c r="C226" s="6">
        <v>18257.8</v>
      </c>
    </row>
    <row r="227">
      <c r="A227" s="5" t="s">
        <v>186</v>
      </c>
      <c r="B227" s="6">
        <v>4338.0</v>
      </c>
      <c r="C227" s="6">
        <v>18255.75</v>
      </c>
    </row>
    <row r="228">
      <c r="A228" s="5" t="s">
        <v>187</v>
      </c>
      <c r="B228" s="6">
        <v>4407.0</v>
      </c>
      <c r="C228" s="6">
        <v>18308.1</v>
      </c>
    </row>
    <row r="229">
      <c r="A229" s="5" t="s">
        <v>188</v>
      </c>
      <c r="B229" s="6">
        <v>4440.0</v>
      </c>
      <c r="C229" s="6">
        <v>18113.05</v>
      </c>
    </row>
    <row r="230">
      <c r="A230" s="5" t="s">
        <v>189</v>
      </c>
      <c r="B230" s="6">
        <v>4493.2</v>
      </c>
      <c r="C230" s="6">
        <v>17938.4</v>
      </c>
    </row>
    <row r="231">
      <c r="A231" s="5" t="s">
        <v>190</v>
      </c>
      <c r="B231" s="6">
        <v>4466.05</v>
      </c>
      <c r="C231" s="6">
        <v>17757.0</v>
      </c>
    </row>
    <row r="232">
      <c r="A232" s="5" t="s">
        <v>191</v>
      </c>
      <c r="B232" s="6">
        <v>4305.0</v>
      </c>
      <c r="C232" s="6">
        <v>17617.15</v>
      </c>
    </row>
    <row r="233">
      <c r="A233" s="5" t="s">
        <v>192</v>
      </c>
      <c r="B233" s="6">
        <v>4039.0</v>
      </c>
      <c r="C233" s="6">
        <v>17149.1</v>
      </c>
    </row>
    <row r="234">
      <c r="A234" s="5" t="s">
        <v>193</v>
      </c>
      <c r="B234" s="6">
        <v>4085.0</v>
      </c>
      <c r="C234" s="6">
        <v>17277.95</v>
      </c>
    </row>
    <row r="235">
      <c r="A235" s="5" t="s">
        <v>194</v>
      </c>
      <c r="B235" s="6">
        <v>4064.75</v>
      </c>
      <c r="C235" s="6">
        <v>17110.15</v>
      </c>
    </row>
    <row r="236">
      <c r="A236" s="5" t="s">
        <v>195</v>
      </c>
      <c r="B236" s="6">
        <v>4070.0</v>
      </c>
      <c r="C236" s="6">
        <v>17101.95</v>
      </c>
    </row>
    <row r="237">
      <c r="A237" s="5" t="s">
        <v>196</v>
      </c>
      <c r="B237" s="6">
        <v>4109.0</v>
      </c>
      <c r="C237" s="6">
        <v>17339.85</v>
      </c>
    </row>
    <row r="238">
      <c r="A238" s="5">
        <v>44563.0</v>
      </c>
      <c r="B238" s="6">
        <v>4253.0</v>
      </c>
      <c r="C238" s="6">
        <v>17576.85</v>
      </c>
    </row>
    <row r="239">
      <c r="A239" s="5">
        <v>44594.0</v>
      </c>
      <c r="B239" s="6">
        <v>4228.0</v>
      </c>
      <c r="C239" s="6">
        <v>17780.0</v>
      </c>
    </row>
    <row r="240">
      <c r="A240" s="5">
        <v>44622.0</v>
      </c>
      <c r="B240" s="6">
        <v>4130.55</v>
      </c>
      <c r="C240" s="6">
        <v>17560.2</v>
      </c>
    </row>
    <row r="241">
      <c r="A241" s="5">
        <v>44653.0</v>
      </c>
      <c r="B241" s="6">
        <v>4083.5</v>
      </c>
      <c r="C241" s="6">
        <v>17516.3</v>
      </c>
    </row>
    <row r="242">
      <c r="A242" s="5">
        <v>44744.0</v>
      </c>
      <c r="B242" s="6">
        <v>4070.0</v>
      </c>
      <c r="C242" s="6">
        <v>17213.6</v>
      </c>
    </row>
    <row r="243">
      <c r="A243" s="5">
        <v>44775.0</v>
      </c>
      <c r="B243" s="6">
        <v>4015.0</v>
      </c>
      <c r="C243" s="6">
        <v>17266.75</v>
      </c>
    </row>
    <row r="244">
      <c r="A244" s="5">
        <v>44806.0</v>
      </c>
      <c r="B244" s="6">
        <v>4002.4</v>
      </c>
      <c r="C244" s="6">
        <v>17463.8</v>
      </c>
    </row>
    <row r="245">
      <c r="A245" s="5">
        <v>44836.0</v>
      </c>
      <c r="B245" s="6">
        <v>4160.0</v>
      </c>
      <c r="C245" s="6">
        <v>17605.85</v>
      </c>
    </row>
    <row r="246">
      <c r="A246" s="5">
        <v>44867.0</v>
      </c>
      <c r="B246" s="6">
        <v>4140.0</v>
      </c>
      <c r="C246" s="6">
        <v>17374.75</v>
      </c>
    </row>
    <row r="247">
      <c r="A247" s="5" t="s">
        <v>197</v>
      </c>
      <c r="B247" s="6">
        <v>3998.0</v>
      </c>
      <c r="C247" s="6">
        <v>16842.8</v>
      </c>
    </row>
    <row r="248">
      <c r="A248" s="5" t="s">
        <v>198</v>
      </c>
      <c r="B248" s="6">
        <v>4099.0</v>
      </c>
      <c r="C248" s="6">
        <v>17352.45</v>
      </c>
    </row>
    <row r="249">
      <c r="A249" s="5" t="s">
        <v>199</v>
      </c>
      <c r="B249" s="6">
        <v>4053.0</v>
      </c>
      <c r="C249" s="6">
        <v>17322.2</v>
      </c>
    </row>
    <row r="250">
      <c r="A250" s="5" t="s">
        <v>200</v>
      </c>
      <c r="B250" s="6">
        <v>4115.0</v>
      </c>
      <c r="C250" s="6">
        <v>17304.6</v>
      </c>
    </row>
    <row r="251">
      <c r="A251" s="5" t="s">
        <v>201</v>
      </c>
      <c r="B251" s="6">
        <v>4068.0</v>
      </c>
      <c r="C251" s="6">
        <v>17276.3</v>
      </c>
    </row>
    <row r="252">
      <c r="A252" s="5" t="s">
        <v>202</v>
      </c>
      <c r="B252" s="6">
        <v>4090.0</v>
      </c>
      <c r="C252" s="6">
        <v>17206.65</v>
      </c>
    </row>
    <row r="253">
      <c r="A253" s="5" t="s">
        <v>203</v>
      </c>
      <c r="B253" s="6">
        <v>4160.0</v>
      </c>
      <c r="C253" s="6">
        <v>17092.2</v>
      </c>
    </row>
    <row r="254">
      <c r="A254" s="5" t="s">
        <v>204</v>
      </c>
      <c r="B254" s="6">
        <v>4207.0</v>
      </c>
      <c r="C254" s="6">
        <v>17063.25</v>
      </c>
    </row>
    <row r="255">
      <c r="A255" s="5" t="s">
        <v>205</v>
      </c>
      <c r="B255" s="6">
        <v>3980.0</v>
      </c>
      <c r="C255" s="6">
        <v>16247.95</v>
      </c>
    </row>
    <row r="256">
      <c r="A256" s="5" t="s">
        <v>206</v>
      </c>
      <c r="B256" s="6">
        <v>4188.0</v>
      </c>
      <c r="C256" s="6">
        <v>16658.4</v>
      </c>
    </row>
    <row r="257">
      <c r="A257" s="5" t="s">
        <v>207</v>
      </c>
      <c r="B257" s="6">
        <v>4344.0</v>
      </c>
      <c r="C257" s="6">
        <v>16793.9</v>
      </c>
    </row>
    <row r="258">
      <c r="A258" s="5">
        <v>44595.0</v>
      </c>
      <c r="B258" s="6">
        <v>4292.0</v>
      </c>
      <c r="C258" s="6">
        <v>16605.95</v>
      </c>
    </row>
    <row r="259">
      <c r="A259" s="5">
        <v>44623.0</v>
      </c>
      <c r="B259" s="6">
        <v>4265.0</v>
      </c>
      <c r="C259" s="6">
        <v>16498.05</v>
      </c>
    </row>
    <row r="260">
      <c r="A260" s="5">
        <v>44654.0</v>
      </c>
      <c r="B260" s="6">
        <v>4099.0</v>
      </c>
      <c r="C260" s="6">
        <v>16245.35</v>
      </c>
    </row>
    <row r="261">
      <c r="A261" s="5">
        <v>44745.0</v>
      </c>
      <c r="B261" s="6">
        <v>3995.8</v>
      </c>
      <c r="C261" s="6">
        <v>15863.15</v>
      </c>
    </row>
    <row r="262">
      <c r="A262" s="5">
        <v>44776.0</v>
      </c>
      <c r="B262" s="6">
        <v>4135.5</v>
      </c>
      <c r="C262" s="6">
        <v>16013.45</v>
      </c>
    </row>
    <row r="263">
      <c r="A263" s="5">
        <v>44807.0</v>
      </c>
      <c r="B263" s="6">
        <v>4090.0</v>
      </c>
      <c r="C263" s="6">
        <v>16345.35</v>
      </c>
    </row>
    <row r="264">
      <c r="A264" s="5">
        <v>44837.0</v>
      </c>
      <c r="B264" s="6">
        <v>4171.0</v>
      </c>
      <c r="C264" s="6">
        <v>16594.9</v>
      </c>
    </row>
    <row r="265">
      <c r="A265" s="5">
        <v>44868.0</v>
      </c>
      <c r="B265" s="6">
        <v>4199.0</v>
      </c>
      <c r="C265" s="6">
        <v>16630.45</v>
      </c>
    </row>
    <row r="266">
      <c r="A266" s="5" t="s">
        <v>208</v>
      </c>
      <c r="B266" s="6">
        <v>4171.55</v>
      </c>
      <c r="C266" s="6">
        <v>16871.3</v>
      </c>
    </row>
    <row r="267">
      <c r="A267" s="5" t="s">
        <v>209</v>
      </c>
      <c r="B267" s="6">
        <v>4190.0</v>
      </c>
      <c r="C267" s="6">
        <v>16663.0</v>
      </c>
    </row>
    <row r="268">
      <c r="A268" s="5" t="s">
        <v>210</v>
      </c>
      <c r="B268" s="6">
        <v>4165.0</v>
      </c>
      <c r="C268" s="6">
        <v>16975.35</v>
      </c>
    </row>
    <row r="269">
      <c r="A269" s="5" t="s">
        <v>211</v>
      </c>
      <c r="B269" s="6">
        <v>4185.05</v>
      </c>
      <c r="C269" s="6">
        <v>17287.05</v>
      </c>
    </row>
    <row r="270">
      <c r="A270" s="5" t="s">
        <v>212</v>
      </c>
      <c r="B270" s="6">
        <v>4098.8</v>
      </c>
      <c r="C270" s="6">
        <v>17117.6</v>
      </c>
    </row>
    <row r="271">
      <c r="A271" s="5" t="s">
        <v>213</v>
      </c>
      <c r="B271" s="6">
        <v>4063.0</v>
      </c>
      <c r="C271" s="6">
        <v>17315.5</v>
      </c>
    </row>
    <row r="272">
      <c r="A272" s="5" t="s">
        <v>214</v>
      </c>
      <c r="B272" s="6">
        <v>4076.1</v>
      </c>
      <c r="C272" s="6">
        <v>17245.65</v>
      </c>
    </row>
    <row r="273">
      <c r="A273" s="5" t="s">
        <v>215</v>
      </c>
      <c r="B273" s="6">
        <v>4051.0</v>
      </c>
      <c r="C273" s="6">
        <v>17222.75</v>
      </c>
    </row>
    <row r="274">
      <c r="A274" s="5" t="s">
        <v>216</v>
      </c>
      <c r="B274" s="6">
        <v>4005.0</v>
      </c>
      <c r="C274" s="6">
        <v>17153.0</v>
      </c>
    </row>
    <row r="275">
      <c r="A275" s="5" t="s">
        <v>217</v>
      </c>
      <c r="B275" s="6">
        <v>4004.0</v>
      </c>
      <c r="C275" s="6">
        <v>17222.0</v>
      </c>
    </row>
    <row r="276">
      <c r="A276" s="5" t="s">
        <v>218</v>
      </c>
      <c r="B276" s="6">
        <v>4006.0</v>
      </c>
      <c r="C276" s="6">
        <v>17325.3</v>
      </c>
    </row>
    <row r="277">
      <c r="A277" s="5" t="s">
        <v>219</v>
      </c>
      <c r="B277" s="6">
        <v>3965.0</v>
      </c>
      <c r="C277" s="6">
        <v>17498.25</v>
      </c>
    </row>
    <row r="278">
      <c r="A278" s="5" t="s">
        <v>220</v>
      </c>
      <c r="B278" s="6">
        <v>3996.0</v>
      </c>
      <c r="C278" s="6">
        <v>17464.75</v>
      </c>
    </row>
    <row r="279">
      <c r="A279" s="5">
        <v>44565.0</v>
      </c>
      <c r="B279" s="6">
        <v>4080.0</v>
      </c>
      <c r="C279" s="6">
        <v>17670.45</v>
      </c>
    </row>
    <row r="280">
      <c r="A280" s="5">
        <v>44655.0</v>
      </c>
      <c r="B280" s="6">
        <v>4107.0</v>
      </c>
      <c r="C280" s="6">
        <v>18053.4</v>
      </c>
    </row>
    <row r="281">
      <c r="A281" s="5">
        <v>44685.0</v>
      </c>
      <c r="B281" s="6">
        <v>4110.0</v>
      </c>
      <c r="C281" s="6">
        <v>17957.4</v>
      </c>
    </row>
    <row r="282">
      <c r="A282" s="5">
        <v>44716.0</v>
      </c>
      <c r="B282" s="6">
        <v>4104.0</v>
      </c>
      <c r="C282" s="6">
        <v>17807.65</v>
      </c>
    </row>
    <row r="283">
      <c r="A283" s="5">
        <v>44746.0</v>
      </c>
      <c r="B283" s="6">
        <v>4149.9</v>
      </c>
      <c r="C283" s="6">
        <v>17639.55</v>
      </c>
    </row>
    <row r="284">
      <c r="A284" s="5">
        <v>44777.0</v>
      </c>
      <c r="B284" s="6">
        <v>4133.9</v>
      </c>
      <c r="C284" s="6">
        <v>17784.35</v>
      </c>
    </row>
    <row r="285">
      <c r="A285" s="5">
        <v>44869.0</v>
      </c>
      <c r="B285" s="6">
        <v>4170.0</v>
      </c>
      <c r="C285" s="6">
        <v>17674.95</v>
      </c>
    </row>
    <row r="286">
      <c r="A286" s="5">
        <v>44899.0</v>
      </c>
      <c r="B286" s="6">
        <v>4085.5</v>
      </c>
      <c r="C286" s="6">
        <v>17530.3</v>
      </c>
    </row>
    <row r="287">
      <c r="A287" s="5" t="s">
        <v>221</v>
      </c>
      <c r="B287" s="6">
        <v>4099.95</v>
      </c>
      <c r="C287" s="6">
        <v>17475.65</v>
      </c>
    </row>
    <row r="288">
      <c r="A288" s="5" t="s">
        <v>222</v>
      </c>
      <c r="B288" s="6">
        <v>4053.0</v>
      </c>
      <c r="C288" s="6">
        <v>17173.65</v>
      </c>
    </row>
    <row r="289">
      <c r="A289" s="5" t="s">
        <v>223</v>
      </c>
      <c r="B289" s="6">
        <v>4011.5</v>
      </c>
      <c r="C289" s="6">
        <v>16958.65</v>
      </c>
    </row>
    <row r="290">
      <c r="A290" s="5" t="s">
        <v>224</v>
      </c>
      <c r="B290" s="6">
        <v>4060.0</v>
      </c>
      <c r="C290" s="6">
        <v>17136.55</v>
      </c>
    </row>
    <row r="291">
      <c r="A291" s="5" t="s">
        <v>225</v>
      </c>
      <c r="B291" s="6">
        <v>4035.0</v>
      </c>
      <c r="C291" s="6">
        <v>17392.6</v>
      </c>
    </row>
    <row r="292">
      <c r="A292" s="5" t="s">
        <v>226</v>
      </c>
      <c r="B292" s="6">
        <v>4037.0</v>
      </c>
      <c r="C292" s="6">
        <v>17171.95</v>
      </c>
    </row>
    <row r="293">
      <c r="A293" s="5" t="s">
        <v>227</v>
      </c>
      <c r="B293" s="6">
        <v>3984.0</v>
      </c>
      <c r="C293" s="6">
        <v>16953.95</v>
      </c>
    </row>
    <row r="294">
      <c r="A294" s="5" t="s">
        <v>228</v>
      </c>
      <c r="B294" s="6">
        <v>4048.0</v>
      </c>
      <c r="C294" s="6">
        <v>17200.8</v>
      </c>
    </row>
    <row r="295">
      <c r="A295" s="5" t="s">
        <v>229</v>
      </c>
      <c r="B295" s="6">
        <v>3985.0</v>
      </c>
      <c r="C295" s="6">
        <v>17038.4</v>
      </c>
    </row>
    <row r="296">
      <c r="A296" s="5" t="s">
        <v>230</v>
      </c>
      <c r="B296" s="6">
        <v>4025.0</v>
      </c>
      <c r="C296" s="6">
        <v>17245.05</v>
      </c>
    </row>
    <row r="297">
      <c r="A297" s="5" t="s">
        <v>231</v>
      </c>
      <c r="B297" s="6">
        <v>3931.75</v>
      </c>
      <c r="C297" s="6">
        <v>17102.55</v>
      </c>
    </row>
    <row r="298">
      <c r="A298" s="5">
        <v>44597.0</v>
      </c>
      <c r="B298" s="6">
        <v>3989.0</v>
      </c>
      <c r="C298" s="6">
        <v>17069.1</v>
      </c>
    </row>
    <row r="299">
      <c r="A299" s="5">
        <v>44656.0</v>
      </c>
      <c r="B299" s="6">
        <v>3878.0</v>
      </c>
      <c r="C299" s="6">
        <v>16677.6</v>
      </c>
    </row>
    <row r="300">
      <c r="A300" s="5">
        <v>44686.0</v>
      </c>
      <c r="B300" s="6">
        <v>3975.0</v>
      </c>
      <c r="C300" s="6">
        <v>16682.65</v>
      </c>
    </row>
    <row r="301">
      <c r="A301" s="5">
        <v>44717.0</v>
      </c>
      <c r="B301" s="6">
        <v>3720.0</v>
      </c>
      <c r="C301" s="6">
        <v>16411.25</v>
      </c>
    </row>
    <row r="302">
      <c r="A302" s="5">
        <v>44809.0</v>
      </c>
      <c r="B302" s="6">
        <v>3526.0</v>
      </c>
      <c r="C302" s="6">
        <v>16301.85</v>
      </c>
    </row>
    <row r="303">
      <c r="A303" s="5">
        <v>44839.0</v>
      </c>
      <c r="B303" s="6">
        <v>3430.5</v>
      </c>
      <c r="C303" s="6">
        <v>16240.05</v>
      </c>
    </row>
    <row r="304">
      <c r="A304" s="5">
        <v>44870.0</v>
      </c>
      <c r="B304" s="6">
        <v>3344.65</v>
      </c>
      <c r="C304" s="6">
        <v>16167.1</v>
      </c>
    </row>
    <row r="305">
      <c r="A305" s="5">
        <v>44900.0</v>
      </c>
      <c r="B305" s="6">
        <v>3290.0</v>
      </c>
      <c r="C305" s="6">
        <v>15808.0</v>
      </c>
    </row>
    <row r="306">
      <c r="A306" s="5" t="s">
        <v>232</v>
      </c>
      <c r="B306" s="6">
        <v>3240.05</v>
      </c>
      <c r="C306" s="6">
        <v>15782.15</v>
      </c>
    </row>
    <row r="307">
      <c r="A307" s="5" t="s">
        <v>233</v>
      </c>
      <c r="B307" s="6">
        <v>3565.0</v>
      </c>
      <c r="C307" s="6">
        <v>15842.3</v>
      </c>
    </row>
    <row r="308">
      <c r="A308" s="5" t="s">
        <v>234</v>
      </c>
      <c r="B308" s="6">
        <v>3703.0</v>
      </c>
      <c r="C308" s="6">
        <v>16259.3</v>
      </c>
    </row>
    <row r="309">
      <c r="A309" s="5" t="s">
        <v>235</v>
      </c>
      <c r="B309" s="6">
        <v>3655.0</v>
      </c>
      <c r="C309" s="6">
        <v>16240.3</v>
      </c>
    </row>
    <row r="310">
      <c r="A310" s="5" t="s">
        <v>236</v>
      </c>
      <c r="B310" s="6">
        <v>3620.0</v>
      </c>
      <c r="C310" s="6">
        <v>15809.4</v>
      </c>
    </row>
    <row r="311">
      <c r="A311" s="5" t="s">
        <v>237</v>
      </c>
      <c r="B311" s="6">
        <v>3620.85</v>
      </c>
      <c r="C311" s="6">
        <v>16266.15</v>
      </c>
    </row>
    <row r="312">
      <c r="A312" s="5" t="s">
        <v>238</v>
      </c>
      <c r="B312" s="6">
        <v>3564.0</v>
      </c>
      <c r="C312" s="6">
        <v>16214.7</v>
      </c>
    </row>
    <row r="313">
      <c r="A313" s="5" t="s">
        <v>239</v>
      </c>
      <c r="B313" s="6">
        <v>3662.55</v>
      </c>
      <c r="C313" s="6">
        <v>16125.15</v>
      </c>
    </row>
    <row r="314">
      <c r="A314" s="5" t="s">
        <v>240</v>
      </c>
      <c r="B314" s="6">
        <v>3580.0</v>
      </c>
      <c r="C314" s="6">
        <v>16025.8</v>
      </c>
    </row>
    <row r="315">
      <c r="A315" s="5" t="s">
        <v>241</v>
      </c>
      <c r="B315" s="6">
        <v>3610.15</v>
      </c>
      <c r="C315" s="6">
        <v>16170.15</v>
      </c>
    </row>
    <row r="316">
      <c r="A316" s="5" t="s">
        <v>242</v>
      </c>
      <c r="B316" s="6">
        <v>3605.45</v>
      </c>
      <c r="C316" s="6">
        <v>16352.45</v>
      </c>
    </row>
    <row r="317">
      <c r="A317" s="5" t="s">
        <v>243</v>
      </c>
      <c r="B317" s="6">
        <v>3805.0</v>
      </c>
      <c r="C317" s="6">
        <v>16661.4</v>
      </c>
    </row>
    <row r="318">
      <c r="A318" s="5" t="s">
        <v>244</v>
      </c>
      <c r="B318" s="6">
        <v>3961.0</v>
      </c>
      <c r="C318" s="6">
        <v>16584.55</v>
      </c>
    </row>
    <row r="319">
      <c r="A319" s="5">
        <v>44567.0</v>
      </c>
      <c r="B319" s="6">
        <v>3884.0</v>
      </c>
      <c r="C319" s="6">
        <v>16522.75</v>
      </c>
    </row>
    <row r="320">
      <c r="A320" s="5">
        <v>44598.0</v>
      </c>
      <c r="B320" s="6">
        <v>3869.6</v>
      </c>
      <c r="C320" s="6">
        <v>16628.0</v>
      </c>
    </row>
    <row r="321">
      <c r="A321" s="5">
        <v>44626.0</v>
      </c>
      <c r="B321" s="6">
        <v>3810.0</v>
      </c>
      <c r="C321" s="6">
        <v>16584.3</v>
      </c>
    </row>
    <row r="322">
      <c r="A322" s="5">
        <v>44718.0</v>
      </c>
      <c r="B322" s="6">
        <v>3729.0</v>
      </c>
      <c r="C322" s="6">
        <v>16569.55</v>
      </c>
    </row>
    <row r="323">
      <c r="A323" s="5">
        <v>44748.0</v>
      </c>
      <c r="B323" s="6">
        <v>3721.0</v>
      </c>
      <c r="C323" s="6">
        <v>16416.35</v>
      </c>
    </row>
    <row r="324">
      <c r="A324" s="5">
        <v>44779.0</v>
      </c>
      <c r="B324" s="6">
        <v>3720.0</v>
      </c>
      <c r="C324" s="6">
        <v>16356.25</v>
      </c>
    </row>
    <row r="325">
      <c r="A325" s="5">
        <v>44810.0</v>
      </c>
      <c r="B325" s="6">
        <v>3841.0</v>
      </c>
      <c r="C325" s="6">
        <v>16478.1</v>
      </c>
    </row>
    <row r="326">
      <c r="A326" s="5">
        <v>44840.0</v>
      </c>
      <c r="B326" s="6">
        <v>3742.0</v>
      </c>
      <c r="C326" s="6">
        <v>16201.8</v>
      </c>
    </row>
    <row r="327">
      <c r="A327" s="5" t="s">
        <v>245</v>
      </c>
      <c r="B327" s="6">
        <v>3656.0</v>
      </c>
      <c r="C327" s="6">
        <v>15774.4</v>
      </c>
    </row>
    <row r="328">
      <c r="A328" s="5" t="s">
        <v>246</v>
      </c>
      <c r="B328" s="6">
        <v>3650.0</v>
      </c>
      <c r="C328" s="6">
        <v>15732.1</v>
      </c>
    </row>
    <row r="329">
      <c r="A329" s="5" t="s">
        <v>247</v>
      </c>
      <c r="B329" s="6">
        <v>3655.0</v>
      </c>
      <c r="C329" s="6">
        <v>15692.15</v>
      </c>
    </row>
    <row r="330">
      <c r="A330" s="5" t="s">
        <v>248</v>
      </c>
      <c r="B330" s="6">
        <v>3690.0</v>
      </c>
      <c r="C330" s="6">
        <v>15360.6</v>
      </c>
    </row>
    <row r="331">
      <c r="A331" s="5" t="s">
        <v>249</v>
      </c>
      <c r="B331" s="6">
        <v>3472.5</v>
      </c>
      <c r="C331" s="6">
        <v>15293.5</v>
      </c>
    </row>
    <row r="332">
      <c r="A332" s="5" t="s">
        <v>250</v>
      </c>
      <c r="B332" s="6">
        <v>3480.0</v>
      </c>
      <c r="C332" s="6">
        <v>15350.15</v>
      </c>
    </row>
    <row r="333">
      <c r="A333" s="5" t="s">
        <v>251</v>
      </c>
      <c r="B333" s="6">
        <v>3521.0</v>
      </c>
      <c r="C333" s="6">
        <v>15638.8</v>
      </c>
    </row>
    <row r="334">
      <c r="A334" s="5" t="s">
        <v>252</v>
      </c>
      <c r="B334" s="6">
        <v>3468.0</v>
      </c>
      <c r="C334" s="6">
        <v>15413.3</v>
      </c>
    </row>
    <row r="335">
      <c r="A335" s="5" t="s">
        <v>253</v>
      </c>
      <c r="B335" s="6">
        <v>3432.9</v>
      </c>
      <c r="C335" s="6">
        <v>15556.65</v>
      </c>
    </row>
    <row r="336">
      <c r="A336" s="5" t="s">
        <v>254</v>
      </c>
      <c r="B336" s="6">
        <v>3409.0</v>
      </c>
      <c r="C336" s="6">
        <v>15699.25</v>
      </c>
    </row>
    <row r="337">
      <c r="A337" s="5" t="s">
        <v>255</v>
      </c>
      <c r="B337" s="6">
        <v>3414.0</v>
      </c>
      <c r="C337" s="6">
        <v>15832.05</v>
      </c>
    </row>
    <row r="338">
      <c r="A338" s="5" t="s">
        <v>256</v>
      </c>
      <c r="B338" s="6">
        <v>3475.0</v>
      </c>
      <c r="C338" s="6">
        <v>15850.2</v>
      </c>
    </row>
    <row r="339">
      <c r="A339" s="5" t="s">
        <v>257</v>
      </c>
      <c r="B339" s="6">
        <v>3433.0</v>
      </c>
      <c r="C339" s="6">
        <v>15799.1</v>
      </c>
    </row>
    <row r="340">
      <c r="A340" s="5" t="s">
        <v>258</v>
      </c>
      <c r="B340" s="6">
        <v>3386.0</v>
      </c>
      <c r="C340" s="6">
        <v>15780.25</v>
      </c>
    </row>
    <row r="341">
      <c r="A341" s="5">
        <v>44568.0</v>
      </c>
      <c r="B341" s="6">
        <v>3395.0</v>
      </c>
      <c r="C341" s="6">
        <v>15752.05</v>
      </c>
    </row>
    <row r="342">
      <c r="A342" s="5">
        <v>44658.0</v>
      </c>
      <c r="B342" s="6">
        <v>3501.0</v>
      </c>
      <c r="C342" s="6">
        <v>15835.35</v>
      </c>
    </row>
    <row r="343">
      <c r="A343" s="5">
        <v>44688.0</v>
      </c>
      <c r="B343" s="6">
        <v>3648.0</v>
      </c>
      <c r="C343" s="6">
        <v>15810.85</v>
      </c>
    </row>
    <row r="344">
      <c r="A344" s="5">
        <v>44719.0</v>
      </c>
      <c r="B344" s="6">
        <v>3825.0</v>
      </c>
      <c r="C344" s="6">
        <v>15989.8</v>
      </c>
    </row>
    <row r="345">
      <c r="A345" s="5">
        <v>44749.0</v>
      </c>
      <c r="B345" s="6">
        <v>3835.0</v>
      </c>
      <c r="C345" s="6">
        <v>16132.9</v>
      </c>
    </row>
    <row r="346">
      <c r="A346" s="5">
        <v>44780.0</v>
      </c>
      <c r="B346" s="6">
        <v>3955.0</v>
      </c>
      <c r="C346" s="6">
        <v>16220.6</v>
      </c>
    </row>
    <row r="347">
      <c r="A347" s="5">
        <v>44872.0</v>
      </c>
      <c r="B347" s="6">
        <v>3973.95</v>
      </c>
      <c r="C347" s="6">
        <v>16216.0</v>
      </c>
    </row>
    <row r="348">
      <c r="A348" s="5">
        <v>44902.0</v>
      </c>
      <c r="B348" s="6">
        <v>3864.0</v>
      </c>
      <c r="C348" s="6">
        <v>16058.3</v>
      </c>
    </row>
    <row r="349">
      <c r="A349" s="5" t="s">
        <v>259</v>
      </c>
      <c r="B349" s="6">
        <v>3877.0</v>
      </c>
      <c r="C349" s="6">
        <v>15966.65</v>
      </c>
    </row>
    <row r="350">
      <c r="A350" s="5" t="s">
        <v>260</v>
      </c>
      <c r="B350" s="6">
        <v>3922.0</v>
      </c>
      <c r="C350" s="6">
        <v>15938.65</v>
      </c>
    </row>
    <row r="351">
      <c r="A351" s="5" t="s">
        <v>261</v>
      </c>
      <c r="B351" s="6">
        <v>3910.5</v>
      </c>
      <c r="C351" s="6">
        <v>16049.2</v>
      </c>
    </row>
    <row r="352">
      <c r="A352" s="5" t="s">
        <v>262</v>
      </c>
      <c r="B352" s="6">
        <v>3935.0</v>
      </c>
      <c r="C352" s="6">
        <v>16278.5</v>
      </c>
    </row>
    <row r="353">
      <c r="A353" s="5" t="s">
        <v>263</v>
      </c>
      <c r="B353" s="6">
        <v>3920.0</v>
      </c>
      <c r="C353" s="6">
        <v>16340.55</v>
      </c>
    </row>
    <row r="354">
      <c r="A354" s="5" t="s">
        <v>264</v>
      </c>
      <c r="B354" s="6">
        <v>3930.0</v>
      </c>
      <c r="C354" s="6">
        <v>16520.85</v>
      </c>
    </row>
    <row r="355">
      <c r="A355" s="5" t="s">
        <v>265</v>
      </c>
      <c r="B355" s="6">
        <v>4049.9</v>
      </c>
      <c r="C355" s="6">
        <v>16605.25</v>
      </c>
    </row>
    <row r="356">
      <c r="A356" s="5" t="s">
        <v>266</v>
      </c>
      <c r="B356" s="6">
        <v>3956.0</v>
      </c>
      <c r="C356" s="6">
        <v>16719.45</v>
      </c>
    </row>
    <row r="357">
      <c r="A357" s="5" t="s">
        <v>267</v>
      </c>
      <c r="B357" s="6">
        <v>4040.2</v>
      </c>
      <c r="C357" s="6">
        <v>16631.0</v>
      </c>
    </row>
    <row r="358">
      <c r="A358" s="5" t="s">
        <v>268</v>
      </c>
      <c r="B358" s="6">
        <v>3920.0</v>
      </c>
      <c r="C358" s="6">
        <v>16483.85</v>
      </c>
    </row>
    <row r="359">
      <c r="A359" s="5" t="s">
        <v>269</v>
      </c>
      <c r="B359" s="6">
        <v>3994.0</v>
      </c>
      <c r="C359" s="6">
        <v>16641.8</v>
      </c>
    </row>
    <row r="360">
      <c r="A360" s="5" t="s">
        <v>270</v>
      </c>
      <c r="B360" s="6">
        <v>4151.0</v>
      </c>
      <c r="C360" s="6">
        <v>16929.6</v>
      </c>
    </row>
    <row r="361">
      <c r="A361" s="5" t="s">
        <v>271</v>
      </c>
      <c r="B361" s="6">
        <v>4241.0</v>
      </c>
      <c r="C361" s="6">
        <v>17158.25</v>
      </c>
    </row>
    <row r="362">
      <c r="A362" s="5">
        <v>44569.0</v>
      </c>
      <c r="B362" s="6">
        <v>4310.0</v>
      </c>
      <c r="C362" s="6">
        <v>17340.05</v>
      </c>
    </row>
    <row r="363">
      <c r="A363" s="5">
        <v>44600.0</v>
      </c>
      <c r="B363" s="6">
        <v>4250.0</v>
      </c>
      <c r="C363" s="6">
        <v>17345.45</v>
      </c>
    </row>
    <row r="364">
      <c r="A364" s="5">
        <v>44628.0</v>
      </c>
      <c r="B364" s="6">
        <v>4269.05</v>
      </c>
      <c r="C364" s="6">
        <v>17388.15</v>
      </c>
    </row>
    <row r="365">
      <c r="A365" s="5">
        <v>44659.0</v>
      </c>
      <c r="B365" s="6">
        <v>4238.0</v>
      </c>
      <c r="C365" s="6">
        <v>17382.0</v>
      </c>
    </row>
    <row r="366">
      <c r="A366" s="5">
        <v>44689.0</v>
      </c>
      <c r="B366" s="6">
        <v>4230.7</v>
      </c>
      <c r="C366" s="6">
        <v>17397.5</v>
      </c>
    </row>
    <row r="367">
      <c r="A367" s="5">
        <v>44781.0</v>
      </c>
      <c r="B367" s="6">
        <v>4249.9</v>
      </c>
      <c r="C367" s="6">
        <v>17525.1</v>
      </c>
    </row>
    <row r="368">
      <c r="A368" s="5">
        <v>44842.0</v>
      </c>
      <c r="B368" s="6">
        <v>4240.0</v>
      </c>
      <c r="C368" s="6">
        <v>17534.75</v>
      </c>
    </row>
    <row r="369">
      <c r="A369" s="5">
        <v>44873.0</v>
      </c>
      <c r="B369" s="6">
        <v>4267.6</v>
      </c>
      <c r="C369" s="6">
        <v>17659.0</v>
      </c>
    </row>
    <row r="370">
      <c r="A370" s="5">
        <v>44903.0</v>
      </c>
      <c r="B370" s="6">
        <v>4332.0</v>
      </c>
      <c r="C370" s="6">
        <v>17698.15</v>
      </c>
    </row>
    <row r="371">
      <c r="A371" s="5" t="s">
        <v>272</v>
      </c>
      <c r="B371" s="6">
        <v>4401.15</v>
      </c>
      <c r="C371" s="6">
        <v>17825.25</v>
      </c>
    </row>
    <row r="372">
      <c r="A372" s="5" t="s">
        <v>273</v>
      </c>
      <c r="B372" s="6">
        <v>4392.0</v>
      </c>
      <c r="C372" s="6">
        <v>17944.25</v>
      </c>
    </row>
    <row r="373">
      <c r="A373" s="5" t="s">
        <v>274</v>
      </c>
      <c r="B373" s="6">
        <v>4455.0</v>
      </c>
      <c r="C373" s="6">
        <v>17956.5</v>
      </c>
    </row>
    <row r="374">
      <c r="A374" s="5" t="s">
        <v>275</v>
      </c>
      <c r="B374" s="6">
        <v>4376.0</v>
      </c>
      <c r="C374" s="6">
        <v>17758.45</v>
      </c>
    </row>
    <row r="375">
      <c r="A375" s="5" t="s">
        <v>276</v>
      </c>
      <c r="B375" s="6">
        <v>4252.5</v>
      </c>
      <c r="C375" s="6">
        <v>17490.7</v>
      </c>
    </row>
    <row r="376">
      <c r="A376" s="5" t="s">
        <v>277</v>
      </c>
      <c r="B376" s="6">
        <v>4291.05</v>
      </c>
      <c r="C376" s="6">
        <v>17577.5</v>
      </c>
    </row>
    <row r="377">
      <c r="A377" s="5" t="s">
        <v>278</v>
      </c>
      <c r="B377" s="6">
        <v>4290.0</v>
      </c>
      <c r="C377" s="6">
        <v>17604.95</v>
      </c>
    </row>
    <row r="378">
      <c r="A378" s="5" t="s">
        <v>279</v>
      </c>
      <c r="B378" s="6">
        <v>4342.0</v>
      </c>
      <c r="C378" s="6">
        <v>17522.45</v>
      </c>
    </row>
    <row r="379">
      <c r="A379" s="5" t="s">
        <v>280</v>
      </c>
      <c r="B379" s="6">
        <v>4407.0</v>
      </c>
      <c r="C379" s="6">
        <v>17558.9</v>
      </c>
    </row>
    <row r="380">
      <c r="A380" s="5" t="s">
        <v>281</v>
      </c>
      <c r="B380" s="6">
        <v>4438.0</v>
      </c>
      <c r="C380" s="6">
        <v>17312.9</v>
      </c>
    </row>
    <row r="381">
      <c r="A381" s="5" t="s">
        <v>282</v>
      </c>
      <c r="B381" s="6">
        <v>4545.0</v>
      </c>
      <c r="C381" s="6">
        <v>17759.3</v>
      </c>
    </row>
    <row r="382">
      <c r="A382" s="5">
        <v>44570.0</v>
      </c>
      <c r="B382" s="6">
        <v>4557.95</v>
      </c>
      <c r="C382" s="6">
        <v>17542.8</v>
      </c>
    </row>
    <row r="383">
      <c r="A383" s="5">
        <v>44601.0</v>
      </c>
      <c r="B383" s="6">
        <v>4575.0</v>
      </c>
      <c r="C383" s="6">
        <v>17539.45</v>
      </c>
    </row>
    <row r="384">
      <c r="A384" s="5">
        <v>44690.0</v>
      </c>
      <c r="B384" s="6">
        <v>4566.9</v>
      </c>
      <c r="C384" s="6">
        <v>17665.8</v>
      </c>
    </row>
    <row r="385">
      <c r="A385" s="5">
        <v>44721.0</v>
      </c>
      <c r="B385" s="6">
        <v>4548.0</v>
      </c>
      <c r="C385" s="6">
        <v>17655.6</v>
      </c>
    </row>
    <row r="386">
      <c r="A386" s="5">
        <v>44751.0</v>
      </c>
      <c r="B386" s="6">
        <v>4460.0</v>
      </c>
      <c r="C386" s="6">
        <v>17624.4</v>
      </c>
    </row>
    <row r="387">
      <c r="A387" s="5">
        <v>44782.0</v>
      </c>
      <c r="B387" s="6">
        <v>4419.9</v>
      </c>
      <c r="C387" s="6">
        <v>17798.75</v>
      </c>
    </row>
    <row r="388">
      <c r="A388" s="5">
        <v>44813.0</v>
      </c>
      <c r="B388" s="6">
        <v>4405.1</v>
      </c>
      <c r="C388" s="6">
        <v>17833.35</v>
      </c>
    </row>
    <row r="389">
      <c r="A389" s="5">
        <v>44904.0</v>
      </c>
      <c r="B389" s="6">
        <v>4449.95</v>
      </c>
      <c r="C389" s="6">
        <v>17936.35</v>
      </c>
    </row>
    <row r="390">
      <c r="A390" s="5" t="s">
        <v>283</v>
      </c>
      <c r="B390" s="6">
        <v>4499.1</v>
      </c>
      <c r="C390" s="6">
        <v>18070.05</v>
      </c>
    </row>
    <row r="391">
      <c r="A391" s="5" t="s">
        <v>284</v>
      </c>
      <c r="B391" s="6">
        <v>4478.0</v>
      </c>
      <c r="C391" s="6">
        <v>18003.75</v>
      </c>
    </row>
    <row r="392">
      <c r="A392" s="5" t="s">
        <v>285</v>
      </c>
      <c r="B392" s="6">
        <v>4526.85</v>
      </c>
      <c r="C392" s="6">
        <v>17877.4</v>
      </c>
    </row>
    <row r="393">
      <c r="A393" s="5" t="s">
        <v>286</v>
      </c>
      <c r="B393" s="6">
        <v>4340.0</v>
      </c>
      <c r="C393" s="6">
        <v>17530.85</v>
      </c>
    </row>
    <row r="394">
      <c r="A394" s="5" t="s">
        <v>287</v>
      </c>
      <c r="B394" s="6">
        <v>4351.0</v>
      </c>
      <c r="C394" s="6">
        <v>17622.25</v>
      </c>
    </row>
    <row r="395">
      <c r="A395" s="5" t="s">
        <v>288</v>
      </c>
      <c r="B395" s="6">
        <v>4341.15</v>
      </c>
      <c r="C395" s="6">
        <v>17816.25</v>
      </c>
    </row>
    <row r="396">
      <c r="A396" s="5" t="s">
        <v>289</v>
      </c>
      <c r="B396" s="6">
        <v>4306.0</v>
      </c>
      <c r="C396" s="6">
        <v>17718.35</v>
      </c>
    </row>
    <row r="397">
      <c r="A397" s="5" t="s">
        <v>290</v>
      </c>
      <c r="B397" s="6">
        <v>4439.0</v>
      </c>
      <c r="C397" s="6">
        <v>17629.8</v>
      </c>
    </row>
    <row r="398">
      <c r="A398" s="5" t="s">
        <v>291</v>
      </c>
      <c r="B398" s="6">
        <v>4371.95</v>
      </c>
      <c r="C398" s="6">
        <v>17327.35</v>
      </c>
    </row>
    <row r="399">
      <c r="A399" s="5" t="s">
        <v>292</v>
      </c>
      <c r="B399" s="6">
        <v>4330.8</v>
      </c>
      <c r="C399" s="6">
        <v>17016.3</v>
      </c>
    </row>
    <row r="400">
      <c r="A400" s="5" t="s">
        <v>293</v>
      </c>
      <c r="B400" s="6">
        <v>4285.0</v>
      </c>
      <c r="C400" s="6">
        <v>17007.4</v>
      </c>
    </row>
    <row r="401">
      <c r="A401" s="5" t="s">
        <v>294</v>
      </c>
      <c r="B401" s="6">
        <v>4300.55</v>
      </c>
      <c r="C401" s="6">
        <v>16858.6</v>
      </c>
    </row>
    <row r="402">
      <c r="A402" s="5" t="s">
        <v>295</v>
      </c>
      <c r="B402" s="6">
        <v>4241.0</v>
      </c>
      <c r="C402" s="6">
        <v>16818.1</v>
      </c>
    </row>
    <row r="403">
      <c r="A403" s="5" t="s">
        <v>296</v>
      </c>
      <c r="B403" s="6">
        <v>4390.05</v>
      </c>
      <c r="C403" s="6">
        <v>17094.35</v>
      </c>
    </row>
    <row r="404">
      <c r="A404" s="5">
        <v>44630.0</v>
      </c>
      <c r="B404" s="6">
        <v>4438.1</v>
      </c>
      <c r="C404" s="6">
        <v>16887.35</v>
      </c>
    </row>
    <row r="405">
      <c r="A405" s="5">
        <v>44661.0</v>
      </c>
      <c r="B405" s="6">
        <v>4480.0</v>
      </c>
      <c r="C405" s="6">
        <v>17274.3</v>
      </c>
    </row>
    <row r="406">
      <c r="A406" s="5">
        <v>44722.0</v>
      </c>
      <c r="B406" s="6">
        <v>4415.0</v>
      </c>
      <c r="C406" s="6">
        <v>17331.8</v>
      </c>
    </row>
    <row r="407">
      <c r="A407" s="5">
        <v>44752.0</v>
      </c>
      <c r="B407" s="6">
        <v>4465.5</v>
      </c>
      <c r="C407" s="6">
        <v>17314.65</v>
      </c>
    </row>
    <row r="408">
      <c r="A408" s="5">
        <v>44844.0</v>
      </c>
      <c r="B408" s="6">
        <v>4465.0</v>
      </c>
      <c r="C408" s="6">
        <v>17241.0</v>
      </c>
    </row>
    <row r="409">
      <c r="A409" s="5">
        <v>44875.0</v>
      </c>
      <c r="B409" s="6">
        <v>4363.0</v>
      </c>
      <c r="C409" s="6">
        <v>16983.55</v>
      </c>
    </row>
    <row r="410">
      <c r="A410" s="5">
        <v>44905.0</v>
      </c>
      <c r="B410" s="6">
        <v>4336.9</v>
      </c>
      <c r="C410" s="6">
        <v>17123.6</v>
      </c>
    </row>
    <row r="411">
      <c r="A411" s="5" t="s">
        <v>297</v>
      </c>
      <c r="B411" s="6">
        <v>4314.95</v>
      </c>
      <c r="C411" s="6">
        <v>17014.35</v>
      </c>
    </row>
    <row r="412">
      <c r="A412" s="5" t="s">
        <v>298</v>
      </c>
      <c r="B412" s="6">
        <v>4298.05</v>
      </c>
      <c r="C412" s="6">
        <v>17185.7</v>
      </c>
    </row>
    <row r="413">
      <c r="A413" s="5" t="s">
        <v>299</v>
      </c>
      <c r="B413" s="6">
        <v>4151.25</v>
      </c>
      <c r="C413" s="6">
        <v>17311.8</v>
      </c>
    </row>
    <row r="414">
      <c r="A414" s="5" t="s">
        <v>300</v>
      </c>
      <c r="B414" s="6">
        <v>4135.0</v>
      </c>
      <c r="C414" s="6">
        <v>17486.95</v>
      </c>
    </row>
    <row r="415">
      <c r="A415" s="5" t="s">
        <v>301</v>
      </c>
      <c r="B415" s="6">
        <v>4164.95</v>
      </c>
      <c r="C415" s="6">
        <v>17512.25</v>
      </c>
    </row>
    <row r="416">
      <c r="A416" s="5" t="s">
        <v>302</v>
      </c>
      <c r="B416" s="6">
        <v>4224.0</v>
      </c>
      <c r="C416" s="6">
        <v>17563.95</v>
      </c>
    </row>
    <row r="417">
      <c r="A417" s="5" t="s">
        <v>303</v>
      </c>
      <c r="B417" s="6">
        <v>4222.85</v>
      </c>
      <c r="C417" s="6">
        <v>17576.3</v>
      </c>
    </row>
    <row r="418">
      <c r="A418" s="5" t="s">
        <v>304</v>
      </c>
      <c r="B418" s="6">
        <v>4229.9</v>
      </c>
      <c r="C418" s="6">
        <v>17730.75</v>
      </c>
    </row>
    <row r="419">
      <c r="A419" s="5" t="s">
        <v>305</v>
      </c>
      <c r="B419" s="6">
        <v>4237.85</v>
      </c>
      <c r="C419" s="6">
        <v>17656.35</v>
      </c>
    </row>
    <row r="420">
      <c r="A420" s="5" t="s">
        <v>306</v>
      </c>
      <c r="B420" s="6">
        <v>4295.0</v>
      </c>
      <c r="C420" s="6">
        <v>17736.95</v>
      </c>
    </row>
    <row r="421">
      <c r="A421" s="5" t="s">
        <v>307</v>
      </c>
      <c r="B421" s="6">
        <v>4315.0</v>
      </c>
      <c r="C421" s="6">
        <v>17786.8</v>
      </c>
    </row>
    <row r="422">
      <c r="A422" s="5" t="s">
        <v>308</v>
      </c>
      <c r="B422" s="6">
        <v>4324.0</v>
      </c>
      <c r="C422" s="6">
        <v>18012.2</v>
      </c>
    </row>
    <row r="423">
      <c r="A423" s="5">
        <v>44572.0</v>
      </c>
      <c r="B423" s="6">
        <v>4260.0</v>
      </c>
      <c r="C423" s="6">
        <v>18145.4</v>
      </c>
    </row>
    <row r="424">
      <c r="A424" s="5">
        <v>44603.0</v>
      </c>
      <c r="B424" s="6">
        <v>4193.0</v>
      </c>
      <c r="C424" s="6">
        <v>18082.85</v>
      </c>
    </row>
    <row r="425">
      <c r="A425" s="5">
        <v>44631.0</v>
      </c>
      <c r="B425" s="6">
        <v>4197.0</v>
      </c>
      <c r="C425" s="6">
        <v>18052.7</v>
      </c>
    </row>
    <row r="426">
      <c r="A426" s="5">
        <v>44662.0</v>
      </c>
      <c r="B426" s="6">
        <v>4168.0</v>
      </c>
      <c r="C426" s="6">
        <v>18117.15</v>
      </c>
    </row>
    <row r="427">
      <c r="A427" s="5">
        <v>44753.0</v>
      </c>
      <c r="B427" s="6">
        <v>4169.0</v>
      </c>
      <c r="C427" s="6">
        <v>18202.8</v>
      </c>
    </row>
    <row r="428">
      <c r="A428" s="5">
        <v>44815.0</v>
      </c>
      <c r="B428" s="6">
        <v>4160.45</v>
      </c>
      <c r="C428" s="6">
        <v>18157.0</v>
      </c>
    </row>
    <row r="429">
      <c r="A429" s="5">
        <v>44845.0</v>
      </c>
      <c r="B429" s="6">
        <v>4142.0</v>
      </c>
      <c r="C429" s="6">
        <v>18028.2</v>
      </c>
    </row>
    <row r="430">
      <c r="A430" s="5">
        <v>44876.0</v>
      </c>
      <c r="B430" s="6">
        <v>4127.0</v>
      </c>
      <c r="C430" s="6">
        <v>18349.7</v>
      </c>
    </row>
    <row r="431">
      <c r="A431" s="5" t="s">
        <v>309</v>
      </c>
      <c r="B431" s="6">
        <v>4096.0</v>
      </c>
      <c r="C431" s="6">
        <v>18329.15</v>
      </c>
    </row>
    <row r="432">
      <c r="A432" s="5" t="s">
        <v>310</v>
      </c>
      <c r="B432" s="6">
        <v>4046.5</v>
      </c>
      <c r="C432" s="6">
        <v>18403.4</v>
      </c>
    </row>
    <row r="433">
      <c r="A433" s="5" t="s">
        <v>311</v>
      </c>
      <c r="B433" s="6">
        <v>4013.5</v>
      </c>
      <c r="C433" s="6">
        <v>18409.65</v>
      </c>
    </row>
    <row r="434">
      <c r="A434" s="5" t="s">
        <v>312</v>
      </c>
      <c r="B434" s="6">
        <v>3955.0</v>
      </c>
      <c r="C434" s="6">
        <v>18343.9</v>
      </c>
    </row>
    <row r="435">
      <c r="A435" s="5" t="s">
        <v>313</v>
      </c>
      <c r="B435" s="6">
        <v>3929.7</v>
      </c>
      <c r="C435" s="6">
        <v>18307.65</v>
      </c>
    </row>
    <row r="436">
      <c r="A436" s="5" t="s">
        <v>314</v>
      </c>
      <c r="B436" s="6">
        <v>3883.0</v>
      </c>
      <c r="C436" s="6">
        <v>18159.95</v>
      </c>
    </row>
    <row r="437">
      <c r="A437" s="5" t="s">
        <v>315</v>
      </c>
      <c r="B437" s="6">
        <v>3950.0</v>
      </c>
      <c r="C437" s="6">
        <v>18244.2</v>
      </c>
    </row>
    <row r="438">
      <c r="A438" s="5" t="s">
        <v>316</v>
      </c>
      <c r="B438" s="6">
        <v>3943.4</v>
      </c>
      <c r="C438" s="6">
        <v>18267.25</v>
      </c>
    </row>
    <row r="439">
      <c r="A439" s="5" t="s">
        <v>317</v>
      </c>
      <c r="B439" s="6">
        <v>3960.05</v>
      </c>
      <c r="C439" s="6">
        <v>18484.1</v>
      </c>
    </row>
    <row r="440">
      <c r="A440" s="5" t="s">
        <v>318</v>
      </c>
      <c r="B440" s="6">
        <v>3902.9</v>
      </c>
      <c r="C440" s="6">
        <v>18512.75</v>
      </c>
    </row>
    <row r="441">
      <c r="A441" s="5" t="s">
        <v>319</v>
      </c>
      <c r="B441" s="6">
        <v>3899.0</v>
      </c>
      <c r="C441" s="6">
        <v>18562.75</v>
      </c>
    </row>
    <row r="442">
      <c r="A442" s="5" t="s">
        <v>320</v>
      </c>
      <c r="B442" s="6">
        <v>3964.0</v>
      </c>
      <c r="C442" s="6">
        <v>18618.05</v>
      </c>
    </row>
    <row r="443">
      <c r="A443" s="5" t="s">
        <v>321</v>
      </c>
      <c r="B443" s="6">
        <v>4029.0</v>
      </c>
      <c r="C443" s="6">
        <v>18758.35</v>
      </c>
    </row>
    <row r="444">
      <c r="A444" s="5">
        <v>44573.0</v>
      </c>
      <c r="B444" s="6">
        <v>4047.0</v>
      </c>
      <c r="C444" s="6">
        <v>18812.5</v>
      </c>
    </row>
    <row r="445">
      <c r="A445" s="5">
        <v>44604.0</v>
      </c>
      <c r="B445" s="6">
        <v>4006.0</v>
      </c>
      <c r="C445" s="6">
        <v>18696.1</v>
      </c>
    </row>
    <row r="446">
      <c r="A446" s="5">
        <v>44693.0</v>
      </c>
      <c r="B446" s="6">
        <v>4029.0</v>
      </c>
      <c r="C446" s="6">
        <v>18701.05</v>
      </c>
    </row>
    <row r="447">
      <c r="A447" s="5">
        <v>44724.0</v>
      </c>
      <c r="B447" s="6">
        <v>4094.0</v>
      </c>
      <c r="C447" s="6">
        <v>18642.75</v>
      </c>
    </row>
    <row r="448">
      <c r="A448" s="5">
        <v>44754.0</v>
      </c>
      <c r="B448" s="6">
        <v>4092.0</v>
      </c>
      <c r="C448" s="6">
        <v>18560.5</v>
      </c>
    </row>
    <row r="449">
      <c r="A449" s="5">
        <v>44785.0</v>
      </c>
      <c r="B449" s="6">
        <v>4032.75</v>
      </c>
      <c r="C449" s="6">
        <v>18609.35</v>
      </c>
    </row>
    <row r="450">
      <c r="A450" s="5">
        <v>44816.0</v>
      </c>
      <c r="B450" s="6">
        <v>3987.25</v>
      </c>
      <c r="C450" s="6">
        <v>18496.6</v>
      </c>
    </row>
    <row r="451">
      <c r="A451" s="5">
        <v>44907.0</v>
      </c>
      <c r="B451" s="6">
        <v>4051.15</v>
      </c>
      <c r="C451" s="6">
        <v>18497.15</v>
      </c>
    </row>
    <row r="452">
      <c r="A452" s="5" t="s">
        <v>322</v>
      </c>
      <c r="B452" s="6">
        <v>4105.0</v>
      </c>
      <c r="C452" s="6">
        <v>18608.0</v>
      </c>
    </row>
    <row r="453">
      <c r="A453" s="5" t="s">
        <v>323</v>
      </c>
      <c r="B453" s="6">
        <v>4204.0</v>
      </c>
      <c r="C453" s="6">
        <v>18660.3</v>
      </c>
    </row>
    <row r="454">
      <c r="A454" s="5" t="s">
        <v>324</v>
      </c>
      <c r="B454" s="6">
        <v>4157.95</v>
      </c>
      <c r="C454" s="6">
        <v>18414.9</v>
      </c>
    </row>
    <row r="455">
      <c r="A455" s="5" t="s">
        <v>325</v>
      </c>
      <c r="B455" s="6">
        <v>4008.0</v>
      </c>
      <c r="C455" s="6">
        <v>18269.0</v>
      </c>
    </row>
    <row r="456">
      <c r="A456" s="5" t="s">
        <v>326</v>
      </c>
      <c r="B456" s="6">
        <v>4088.0</v>
      </c>
      <c r="C456" s="6">
        <v>18420.45</v>
      </c>
    </row>
    <row r="457">
      <c r="A457" s="5" t="s">
        <v>327</v>
      </c>
      <c r="B457" s="6">
        <v>4086.95</v>
      </c>
      <c r="C457" s="6">
        <v>18385.3</v>
      </c>
    </row>
    <row r="458">
      <c r="A458" s="5" t="s">
        <v>328</v>
      </c>
      <c r="B458" s="6">
        <v>4000.0</v>
      </c>
      <c r="C458" s="6">
        <v>18199.1</v>
      </c>
    </row>
    <row r="459">
      <c r="A459" s="5" t="s">
        <v>329</v>
      </c>
      <c r="B459" s="6">
        <v>3917.0</v>
      </c>
      <c r="C459" s="6">
        <v>18127.35</v>
      </c>
    </row>
    <row r="460">
      <c r="A460" s="5" t="s">
        <v>330</v>
      </c>
      <c r="B460" s="6">
        <v>3877.0</v>
      </c>
      <c r="C460" s="6">
        <v>17806.8</v>
      </c>
    </row>
    <row r="461">
      <c r="A461" s="5" t="s">
        <v>331</v>
      </c>
      <c r="B461" s="6">
        <v>4040.0</v>
      </c>
      <c r="C461" s="6">
        <v>18014.6</v>
      </c>
    </row>
    <row r="462">
      <c r="A462" s="5" t="s">
        <v>332</v>
      </c>
      <c r="B462" s="6">
        <v>4075.0</v>
      </c>
      <c r="C462" s="6">
        <v>18132.3</v>
      </c>
    </row>
    <row r="463">
      <c r="A463" s="5" t="s">
        <v>333</v>
      </c>
      <c r="B463" s="6">
        <v>4009.2</v>
      </c>
      <c r="C463" s="6">
        <v>18122.5</v>
      </c>
    </row>
    <row r="464">
      <c r="A464" s="5" t="s">
        <v>334</v>
      </c>
      <c r="B464" s="6">
        <v>4159.7</v>
      </c>
      <c r="C464" s="6">
        <v>18191.0</v>
      </c>
    </row>
    <row r="465">
      <c r="A465" s="5" t="s">
        <v>335</v>
      </c>
      <c r="B465" s="6">
        <v>4052.0</v>
      </c>
      <c r="C465" s="6">
        <v>18105.3</v>
      </c>
    </row>
    <row r="466">
      <c r="A466" s="5">
        <v>44958.0</v>
      </c>
      <c r="B466" s="6">
        <v>4070.0</v>
      </c>
      <c r="C466" s="6">
        <v>18197.45</v>
      </c>
    </row>
    <row r="467">
      <c r="A467" s="5">
        <v>44986.0</v>
      </c>
      <c r="B467" s="6">
        <v>4064.0</v>
      </c>
      <c r="C467" s="6">
        <v>18232.55</v>
      </c>
    </row>
    <row r="468">
      <c r="A468" s="5">
        <v>45017.0</v>
      </c>
      <c r="B468" s="6">
        <v>3931.0</v>
      </c>
      <c r="C468" s="6">
        <v>18042.95</v>
      </c>
    </row>
    <row r="469">
      <c r="A469" s="5">
        <v>45047.0</v>
      </c>
      <c r="B469" s="6">
        <v>3868.4</v>
      </c>
      <c r="C469" s="6">
        <v>17992.15</v>
      </c>
    </row>
    <row r="470">
      <c r="A470" s="5">
        <v>45078.0</v>
      </c>
      <c r="B470" s="6">
        <v>3845.0</v>
      </c>
      <c r="C470" s="6">
        <v>17859.45</v>
      </c>
    </row>
    <row r="471">
      <c r="A471" s="5">
        <v>45170.0</v>
      </c>
      <c r="B471" s="6">
        <v>3880.0</v>
      </c>
      <c r="C471" s="6">
        <v>18101.2</v>
      </c>
    </row>
    <row r="472">
      <c r="A472" s="5">
        <v>45200.0</v>
      </c>
      <c r="B472" s="6">
        <v>3880.0</v>
      </c>
      <c r="C472" s="6">
        <v>17914.15</v>
      </c>
    </row>
    <row r="473">
      <c r="A473" s="5">
        <v>45231.0</v>
      </c>
      <c r="B473" s="6">
        <v>3862.0</v>
      </c>
      <c r="C473" s="6">
        <v>17895.7</v>
      </c>
    </row>
    <row r="474">
      <c r="A474" s="5">
        <v>45261.0</v>
      </c>
      <c r="B474" s="6">
        <v>3914.0</v>
      </c>
      <c r="C474" s="6">
        <v>17858.2</v>
      </c>
    </row>
    <row r="475">
      <c r="A475" s="5" t="s">
        <v>336</v>
      </c>
      <c r="B475" s="6">
        <v>3855.0</v>
      </c>
      <c r="C475" s="6">
        <v>17956.6</v>
      </c>
    </row>
    <row r="476">
      <c r="A476" s="5" t="s">
        <v>337</v>
      </c>
      <c r="B476" s="6">
        <v>3680.25</v>
      </c>
      <c r="C476" s="6">
        <v>17894.85</v>
      </c>
    </row>
    <row r="477">
      <c r="A477" s="5" t="s">
        <v>338</v>
      </c>
      <c r="B477" s="6">
        <v>3682.0</v>
      </c>
      <c r="C477" s="6">
        <v>18053.3</v>
      </c>
    </row>
    <row r="478">
      <c r="A478" s="5" t="s">
        <v>339</v>
      </c>
      <c r="B478" s="6">
        <v>3645.5</v>
      </c>
      <c r="C478" s="6">
        <v>18165.35</v>
      </c>
    </row>
    <row r="479">
      <c r="A479" s="5" t="s">
        <v>340</v>
      </c>
      <c r="B479" s="6">
        <v>3563.0</v>
      </c>
      <c r="C479" s="6">
        <v>18107.85</v>
      </c>
    </row>
    <row r="480">
      <c r="A480" s="5" t="s">
        <v>341</v>
      </c>
      <c r="B480" s="6">
        <v>3518.9</v>
      </c>
      <c r="C480" s="6">
        <v>18027.65</v>
      </c>
    </row>
    <row r="481">
      <c r="A481" s="5" t="s">
        <v>342</v>
      </c>
      <c r="B481" s="6">
        <v>3439.0</v>
      </c>
      <c r="C481" s="6">
        <v>18118.55</v>
      </c>
    </row>
    <row r="482">
      <c r="A482" s="5" t="s">
        <v>343</v>
      </c>
      <c r="B482" s="6">
        <v>3538.0</v>
      </c>
      <c r="C482" s="6">
        <v>18118.3</v>
      </c>
    </row>
    <row r="483">
      <c r="A483" s="5" t="s">
        <v>344</v>
      </c>
      <c r="B483" s="6">
        <v>3540.0</v>
      </c>
      <c r="C483" s="6">
        <v>17891.95</v>
      </c>
    </row>
    <row r="484">
      <c r="A484" s="5" t="s">
        <v>345</v>
      </c>
      <c r="B484" s="6">
        <v>3575.0</v>
      </c>
      <c r="C484" s="6">
        <v>17604.35</v>
      </c>
    </row>
    <row r="485">
      <c r="A485" s="5" t="s">
        <v>346</v>
      </c>
      <c r="B485" s="6">
        <v>3540.0</v>
      </c>
      <c r="C485" s="6">
        <v>17648.95</v>
      </c>
    </row>
    <row r="486">
      <c r="A486" s="5" t="s">
        <v>347</v>
      </c>
      <c r="B486" s="6">
        <v>3510.7</v>
      </c>
      <c r="C486" s="6">
        <v>17662.15</v>
      </c>
    </row>
    <row r="487">
      <c r="A487" s="5">
        <v>44928.0</v>
      </c>
      <c r="B487" s="6">
        <v>3549.0</v>
      </c>
      <c r="C487" s="6">
        <v>17616.3</v>
      </c>
    </row>
    <row r="488">
      <c r="A488" s="5">
        <v>44959.0</v>
      </c>
      <c r="B488" s="6">
        <v>3506.0</v>
      </c>
      <c r="C488" s="6">
        <v>17610.4</v>
      </c>
    </row>
    <row r="489">
      <c r="A489" s="5">
        <v>44987.0</v>
      </c>
      <c r="B489" s="6">
        <v>3469.5</v>
      </c>
      <c r="C489" s="6">
        <v>17854.05</v>
      </c>
    </row>
    <row r="490">
      <c r="A490" s="5">
        <v>45079.0</v>
      </c>
      <c r="B490" s="6">
        <v>3448.0</v>
      </c>
      <c r="C490" s="6">
        <v>17764.6</v>
      </c>
    </row>
    <row r="491">
      <c r="A491" s="5">
        <v>45109.0</v>
      </c>
      <c r="B491" s="6">
        <v>3444.9</v>
      </c>
      <c r="C491" s="6">
        <v>17721.5</v>
      </c>
    </row>
    <row r="492">
      <c r="A492" s="5">
        <v>45140.0</v>
      </c>
      <c r="B492" s="6">
        <v>3462.0</v>
      </c>
      <c r="C492" s="6">
        <v>17871.7</v>
      </c>
    </row>
    <row r="493">
      <c r="A493" s="5">
        <v>45171.0</v>
      </c>
      <c r="B493" s="6">
        <v>3494.95</v>
      </c>
      <c r="C493" s="6">
        <v>17893.45</v>
      </c>
    </row>
    <row r="494">
      <c r="A494" s="5">
        <v>45201.0</v>
      </c>
      <c r="B494" s="6">
        <v>3498.0</v>
      </c>
      <c r="C494" s="6">
        <v>17856.5</v>
      </c>
    </row>
    <row r="495">
      <c r="A495" s="5" t="s">
        <v>348</v>
      </c>
      <c r="B495" s="6">
        <v>3495.0</v>
      </c>
      <c r="C495" s="6">
        <v>17770.9</v>
      </c>
    </row>
    <row r="496">
      <c r="A496" s="5" t="s">
        <v>349</v>
      </c>
      <c r="B496" s="6">
        <v>3483.0</v>
      </c>
      <c r="C496" s="6">
        <v>17929.85</v>
      </c>
    </row>
    <row r="497">
      <c r="A497" s="5" t="s">
        <v>350</v>
      </c>
      <c r="B497" s="6">
        <v>3559.0</v>
      </c>
      <c r="C497" s="6">
        <v>18015.85</v>
      </c>
    </row>
    <row r="498">
      <c r="A498" s="5" t="s">
        <v>351</v>
      </c>
      <c r="B498" s="6">
        <v>3542.95</v>
      </c>
      <c r="C498" s="6">
        <v>18035.85</v>
      </c>
    </row>
    <row r="499">
      <c r="A499" s="5" t="s">
        <v>352</v>
      </c>
      <c r="B499" s="6">
        <v>3551.0</v>
      </c>
      <c r="C499" s="6">
        <v>17944.2</v>
      </c>
    </row>
    <row r="500">
      <c r="A500" s="5" t="s">
        <v>353</v>
      </c>
      <c r="B500" s="6">
        <v>3551.0</v>
      </c>
      <c r="C500" s="6">
        <v>17844.6</v>
      </c>
    </row>
    <row r="501">
      <c r="A501" s="5" t="s">
        <v>354</v>
      </c>
      <c r="B501" s="6">
        <v>3524.5</v>
      </c>
      <c r="C501" s="6">
        <v>17826.7</v>
      </c>
    </row>
    <row r="502">
      <c r="A502" s="5" t="s">
        <v>355</v>
      </c>
      <c r="B502" s="6">
        <v>3505.0</v>
      </c>
      <c r="C502" s="6">
        <v>17554.3</v>
      </c>
    </row>
    <row r="503">
      <c r="A503" s="5" t="s">
        <v>356</v>
      </c>
      <c r="B503" s="6">
        <v>3480.0</v>
      </c>
      <c r="C503" s="6">
        <v>17511.25</v>
      </c>
    </row>
    <row r="504">
      <c r="A504" s="5" t="s">
        <v>357</v>
      </c>
      <c r="B504" s="6">
        <v>3499.0</v>
      </c>
      <c r="C504" s="6">
        <v>17465.8</v>
      </c>
    </row>
    <row r="505">
      <c r="A505" s="5" t="s">
        <v>358</v>
      </c>
      <c r="B505" s="6">
        <v>3486.5</v>
      </c>
      <c r="C505" s="6">
        <v>17392.7</v>
      </c>
    </row>
    <row r="506">
      <c r="A506" s="5" t="s">
        <v>359</v>
      </c>
      <c r="B506" s="6">
        <v>3438.0</v>
      </c>
      <c r="C506" s="6">
        <v>17303.95</v>
      </c>
    </row>
    <row r="507">
      <c r="A507" s="5">
        <v>44929.0</v>
      </c>
      <c r="B507" s="6">
        <v>3445.0</v>
      </c>
      <c r="C507" s="6">
        <v>17450.9</v>
      </c>
    </row>
    <row r="508">
      <c r="A508" s="5">
        <v>44960.0</v>
      </c>
      <c r="B508" s="6">
        <v>3444.0</v>
      </c>
      <c r="C508" s="6">
        <v>17321.9</v>
      </c>
    </row>
    <row r="509">
      <c r="A509" s="5">
        <v>44988.0</v>
      </c>
      <c r="B509" s="6">
        <v>3461.0</v>
      </c>
      <c r="C509" s="6">
        <v>17594.35</v>
      </c>
    </row>
    <row r="510">
      <c r="A510" s="5">
        <v>45080.0</v>
      </c>
      <c r="B510" s="6">
        <v>3451.0</v>
      </c>
      <c r="C510" s="6">
        <v>17711.45</v>
      </c>
    </row>
    <row r="511">
      <c r="A511" s="5">
        <v>45141.0</v>
      </c>
      <c r="B511" s="6">
        <v>3390.0</v>
      </c>
      <c r="C511" s="6">
        <v>17754.4</v>
      </c>
    </row>
    <row r="512">
      <c r="A512" s="5">
        <v>45172.0</v>
      </c>
      <c r="B512" s="6">
        <v>3402.9</v>
      </c>
      <c r="C512" s="6">
        <v>17589.6</v>
      </c>
    </row>
    <row r="513">
      <c r="A513" s="5">
        <v>45202.0</v>
      </c>
      <c r="B513" s="6">
        <v>3405.0</v>
      </c>
      <c r="C513" s="6">
        <v>17412.9</v>
      </c>
    </row>
    <row r="514">
      <c r="A514" s="5" t="s">
        <v>360</v>
      </c>
      <c r="B514" s="6">
        <v>3359.0</v>
      </c>
      <c r="C514" s="6">
        <v>17154.3</v>
      </c>
    </row>
    <row r="515">
      <c r="A515" s="5" t="s">
        <v>361</v>
      </c>
      <c r="B515" s="6">
        <v>3355.0</v>
      </c>
      <c r="C515" s="6">
        <v>17043.3</v>
      </c>
    </row>
    <row r="516">
      <c r="A516" s="5" t="s">
        <v>362</v>
      </c>
      <c r="B516" s="6">
        <v>3339.35</v>
      </c>
      <c r="C516" s="6">
        <v>16972.15</v>
      </c>
    </row>
    <row r="517">
      <c r="A517" s="5" t="s">
        <v>363</v>
      </c>
      <c r="B517" s="6">
        <v>3384.0</v>
      </c>
      <c r="C517" s="6">
        <v>16985.6</v>
      </c>
    </row>
    <row r="518">
      <c r="A518" s="5" t="s">
        <v>364</v>
      </c>
      <c r="B518" s="6">
        <v>3345.0</v>
      </c>
      <c r="C518" s="6">
        <v>17100.05</v>
      </c>
    </row>
    <row r="519">
      <c r="A519" s="5" t="s">
        <v>365</v>
      </c>
      <c r="B519" s="6">
        <v>3353.0</v>
      </c>
      <c r="C519" s="6">
        <v>16988.4</v>
      </c>
    </row>
    <row r="520">
      <c r="A520" s="5" t="s">
        <v>366</v>
      </c>
      <c r="B520" s="6">
        <v>3362.0</v>
      </c>
      <c r="C520" s="6">
        <v>17107.5</v>
      </c>
    </row>
    <row r="521">
      <c r="A521" s="5" t="s">
        <v>367</v>
      </c>
      <c r="B521" s="6">
        <v>3360.65</v>
      </c>
      <c r="C521" s="6">
        <v>17151.9</v>
      </c>
    </row>
    <row r="522">
      <c r="A522" s="5" t="s">
        <v>368</v>
      </c>
      <c r="B522" s="6">
        <v>3365.0</v>
      </c>
      <c r="C522" s="6">
        <v>17076.9</v>
      </c>
    </row>
    <row r="523">
      <c r="A523" s="5" t="s">
        <v>369</v>
      </c>
      <c r="B523" s="6">
        <v>3362.0</v>
      </c>
      <c r="C523" s="6">
        <v>16945.05</v>
      </c>
    </row>
    <row r="524">
      <c r="A524" s="5" t="s">
        <v>370</v>
      </c>
      <c r="B524" s="6">
        <v>3312.0</v>
      </c>
      <c r="C524" s="6">
        <v>16985.7</v>
      </c>
    </row>
    <row r="525">
      <c r="A525" s="5" t="s">
        <v>371</v>
      </c>
      <c r="B525" s="6">
        <v>3320.0</v>
      </c>
      <c r="C525" s="6">
        <v>16951.7</v>
      </c>
    </row>
    <row r="526">
      <c r="A526" s="5" t="s">
        <v>372</v>
      </c>
      <c r="B526" s="6">
        <v>3326.0</v>
      </c>
      <c r="C526" s="6">
        <v>17080.7</v>
      </c>
    </row>
    <row r="527">
      <c r="A527" s="5" t="s">
        <v>373</v>
      </c>
      <c r="B527" s="6">
        <v>3411.0</v>
      </c>
      <c r="C527" s="6">
        <v>17359.75</v>
      </c>
    </row>
    <row r="528">
      <c r="A528" s="5">
        <v>44989.0</v>
      </c>
      <c r="B528" s="6">
        <v>3570.0</v>
      </c>
      <c r="C528" s="6">
        <v>17398.05</v>
      </c>
    </row>
    <row r="529">
      <c r="A529" s="5">
        <v>45050.0</v>
      </c>
      <c r="B529" s="6">
        <v>3656.0</v>
      </c>
      <c r="C529" s="6">
        <v>17557.05</v>
      </c>
    </row>
    <row r="530">
      <c r="A530" s="5">
        <v>45081.0</v>
      </c>
      <c r="B530" s="6">
        <v>3488.0</v>
      </c>
      <c r="C530" s="6">
        <v>17599.15</v>
      </c>
    </row>
    <row r="531">
      <c r="A531" s="5">
        <v>45203.0</v>
      </c>
      <c r="B531" s="6">
        <v>3447.0</v>
      </c>
      <c r="C531" s="6">
        <v>17624.05</v>
      </c>
    </row>
    <row r="532">
      <c r="A532" s="5">
        <v>45234.0</v>
      </c>
      <c r="B532" s="6">
        <v>3455.0</v>
      </c>
      <c r="C532" s="6">
        <v>17722.3</v>
      </c>
    </row>
    <row r="533">
      <c r="A533" s="5">
        <v>45264.0</v>
      </c>
      <c r="B533" s="6">
        <v>3479.0</v>
      </c>
      <c r="C533" s="6">
        <v>17812.4</v>
      </c>
    </row>
    <row r="534">
      <c r="A534" s="5" t="s">
        <v>374</v>
      </c>
      <c r="B534" s="6">
        <v>3497.0</v>
      </c>
      <c r="C534" s="6">
        <v>17828.0</v>
      </c>
    </row>
    <row r="535">
      <c r="A535" s="5" t="s">
        <v>375</v>
      </c>
      <c r="B535" s="6">
        <v>3506.0</v>
      </c>
      <c r="C535" s="6">
        <v>17706.85</v>
      </c>
    </row>
    <row r="536">
      <c r="A536" s="5" t="s">
        <v>376</v>
      </c>
      <c r="B536" s="6">
        <v>3501.0</v>
      </c>
      <c r="C536" s="6">
        <v>17660.15</v>
      </c>
    </row>
    <row r="537">
      <c r="A537" s="5" t="s">
        <v>377</v>
      </c>
      <c r="B537" s="6">
        <v>3478.75</v>
      </c>
      <c r="C537" s="6">
        <v>17618.75</v>
      </c>
    </row>
    <row r="538">
      <c r="A538" s="5" t="s">
        <v>378</v>
      </c>
      <c r="B538" s="6">
        <v>3480.0</v>
      </c>
      <c r="C538" s="6">
        <v>17624.45</v>
      </c>
    </row>
    <row r="539">
      <c r="A539" s="5" t="s">
        <v>379</v>
      </c>
      <c r="B539" s="6">
        <v>3459.9</v>
      </c>
      <c r="C539" s="6">
        <v>17624.05</v>
      </c>
    </row>
    <row r="540">
      <c r="A540" s="5" t="s">
        <v>380</v>
      </c>
      <c r="B540" s="6">
        <v>3472.1</v>
      </c>
      <c r="C540" s="6">
        <v>17743.4</v>
      </c>
    </row>
    <row r="541">
      <c r="A541" s="5" t="s">
        <v>381</v>
      </c>
      <c r="B541" s="6">
        <v>3474.9</v>
      </c>
      <c r="C541" s="6">
        <v>17769.25</v>
      </c>
    </row>
    <row r="542">
      <c r="A542" s="5" t="s">
        <v>382</v>
      </c>
      <c r="B542" s="6">
        <v>3460.0</v>
      </c>
      <c r="C542" s="6">
        <v>17813.6</v>
      </c>
    </row>
    <row r="543">
      <c r="A543" s="5" t="s">
        <v>383</v>
      </c>
      <c r="B543" s="6">
        <v>3504.95</v>
      </c>
      <c r="C543" s="6">
        <v>17915.05</v>
      </c>
    </row>
    <row r="544">
      <c r="A544" s="5" t="s">
        <v>384</v>
      </c>
      <c r="B544" s="6">
        <v>3514.0</v>
      </c>
      <c r="C544" s="6">
        <v>18065.0</v>
      </c>
    </row>
    <row r="545">
      <c r="A545" s="5">
        <v>44962.0</v>
      </c>
      <c r="B545" s="6">
        <v>3549.0</v>
      </c>
      <c r="C545" s="6">
        <v>18147.65</v>
      </c>
    </row>
    <row r="546">
      <c r="A546" s="5">
        <v>44990.0</v>
      </c>
      <c r="B546" s="6">
        <v>3550.0</v>
      </c>
      <c r="C546" s="6">
        <v>18089.85</v>
      </c>
    </row>
    <row r="547">
      <c r="A547" s="5">
        <v>45021.0</v>
      </c>
      <c r="B547" s="6">
        <v>3580.0</v>
      </c>
      <c r="C547" s="6">
        <v>18255.8</v>
      </c>
    </row>
    <row r="548">
      <c r="A548" s="5">
        <v>45051.0</v>
      </c>
      <c r="B548" s="6">
        <v>3594.0</v>
      </c>
      <c r="C548" s="6">
        <v>18069.0</v>
      </c>
    </row>
    <row r="549">
      <c r="A549" s="5">
        <v>45143.0</v>
      </c>
      <c r="B549" s="6">
        <v>3686.0</v>
      </c>
      <c r="C549" s="6">
        <v>18264.4</v>
      </c>
    </row>
    <row r="550">
      <c r="A550" s="5">
        <v>45174.0</v>
      </c>
      <c r="B550" s="6">
        <v>3652.4</v>
      </c>
      <c r="C550" s="6">
        <v>18265.95</v>
      </c>
    </row>
    <row r="551">
      <c r="A551" s="5">
        <v>45204.0</v>
      </c>
      <c r="B551" s="6">
        <v>3679.5</v>
      </c>
      <c r="C551" s="6">
        <v>18315.1</v>
      </c>
    </row>
    <row r="552">
      <c r="A552" s="5">
        <v>45235.0</v>
      </c>
      <c r="B552" s="6">
        <v>3703.0</v>
      </c>
      <c r="C552" s="6">
        <v>18297.0</v>
      </c>
    </row>
    <row r="553">
      <c r="A553" s="5">
        <v>45265.0</v>
      </c>
      <c r="B553" s="6">
        <v>3675.0</v>
      </c>
      <c r="C553" s="6">
        <v>18314.8</v>
      </c>
    </row>
    <row r="554">
      <c r="A554" s="5" t="s">
        <v>385</v>
      </c>
      <c r="B554" s="6">
        <v>3523.0</v>
      </c>
      <c r="C554" s="6">
        <v>18398.85</v>
      </c>
    </row>
    <row r="555">
      <c r="A555" s="5" t="s">
        <v>386</v>
      </c>
      <c r="B555" s="6">
        <v>3480.05</v>
      </c>
      <c r="C555" s="6">
        <v>18286.5</v>
      </c>
    </row>
    <row r="556">
      <c r="A556" s="5" t="s">
        <v>387</v>
      </c>
      <c r="B556" s="6">
        <v>3403.0</v>
      </c>
      <c r="C556" s="6">
        <v>18181.75</v>
      </c>
    </row>
    <row r="557">
      <c r="A557" s="5" t="s">
        <v>388</v>
      </c>
      <c r="B557" s="6">
        <v>3375.0</v>
      </c>
      <c r="C557" s="6">
        <v>18129.95</v>
      </c>
    </row>
    <row r="558">
      <c r="A558" s="5" t="s">
        <v>389</v>
      </c>
      <c r="B558" s="6">
        <v>3399.85</v>
      </c>
      <c r="C558" s="6">
        <v>18203.4</v>
      </c>
    </row>
    <row r="559">
      <c r="A559" s="5" t="s">
        <v>390</v>
      </c>
      <c r="B559" s="6">
        <v>3424.0</v>
      </c>
      <c r="C559" s="6">
        <v>18314.4</v>
      </c>
    </row>
    <row r="560">
      <c r="A560" s="5" t="s">
        <v>391</v>
      </c>
      <c r="B560" s="6">
        <v>3434.65</v>
      </c>
      <c r="C560" s="6">
        <v>18348.0</v>
      </c>
    </row>
    <row r="561">
      <c r="A561" s="5" t="s">
        <v>392</v>
      </c>
      <c r="B561" s="6">
        <v>3434.0</v>
      </c>
      <c r="C561" s="6">
        <v>18285.4</v>
      </c>
    </row>
    <row r="562">
      <c r="A562" s="5" t="s">
        <v>393</v>
      </c>
      <c r="B562" s="6">
        <v>3438.0</v>
      </c>
      <c r="C562" s="6">
        <v>18321.15</v>
      </c>
    </row>
    <row r="563">
      <c r="A563" s="5" t="s">
        <v>394</v>
      </c>
      <c r="B563" s="6">
        <v>3494.0</v>
      </c>
      <c r="C563" s="6">
        <v>18499.35</v>
      </c>
    </row>
    <row r="564">
      <c r="A564" s="5" t="s">
        <v>395</v>
      </c>
      <c r="B564" s="6">
        <v>3502.05</v>
      </c>
      <c r="C564" s="6">
        <v>18598.65</v>
      </c>
    </row>
    <row r="565">
      <c r="A565" s="5" t="s">
        <v>396</v>
      </c>
      <c r="B565" s="6">
        <v>3510.0</v>
      </c>
      <c r="C565" s="6">
        <v>18633.85</v>
      </c>
    </row>
    <row r="566">
      <c r="A566" s="5" t="s">
        <v>397</v>
      </c>
      <c r="B566" s="6">
        <v>3454.0</v>
      </c>
      <c r="C566" s="6">
        <v>18534.4</v>
      </c>
    </row>
    <row r="567">
      <c r="A567" s="5">
        <v>44932.0</v>
      </c>
      <c r="B567" s="6">
        <v>3501.0</v>
      </c>
      <c r="C567" s="6">
        <v>18487.75</v>
      </c>
    </row>
    <row r="568">
      <c r="A568" s="5">
        <v>44963.0</v>
      </c>
      <c r="B568" s="6">
        <v>3520.0</v>
      </c>
      <c r="C568" s="6">
        <v>18534.1</v>
      </c>
    </row>
    <row r="569">
      <c r="A569" s="5">
        <v>45052.0</v>
      </c>
      <c r="B569" s="6">
        <v>3539.0</v>
      </c>
      <c r="C569" s="6">
        <v>18593.85</v>
      </c>
    </row>
    <row r="570">
      <c r="A570" s="5">
        <v>45083.0</v>
      </c>
      <c r="B570" s="6">
        <v>3536.0</v>
      </c>
      <c r="C570" s="6">
        <v>18599.0</v>
      </c>
    </row>
    <row r="571">
      <c r="A571" s="5">
        <v>45113.0</v>
      </c>
      <c r="B571" s="6">
        <v>3548.5</v>
      </c>
      <c r="C571" s="6">
        <v>18726.4</v>
      </c>
    </row>
    <row r="572">
      <c r="A572" s="5">
        <v>45144.0</v>
      </c>
      <c r="B572" s="6">
        <v>3545.0</v>
      </c>
      <c r="C572" s="6">
        <v>18634.55</v>
      </c>
    </row>
    <row r="573">
      <c r="A573" s="5">
        <v>45175.0</v>
      </c>
      <c r="B573" s="6">
        <v>3635.0</v>
      </c>
      <c r="C573" s="6">
        <v>18563.4</v>
      </c>
    </row>
    <row r="574">
      <c r="A574" s="5">
        <v>45266.0</v>
      </c>
      <c r="B574" s="6">
        <v>3638.0</v>
      </c>
      <c r="C574" s="6">
        <v>18601.5</v>
      </c>
    </row>
    <row r="575">
      <c r="A575" s="5" t="s">
        <v>398</v>
      </c>
      <c r="B575" s="6">
        <v>3670.0</v>
      </c>
      <c r="C575" s="6">
        <v>18716.15</v>
      </c>
    </row>
    <row r="576">
      <c r="A576" s="5" t="s">
        <v>399</v>
      </c>
      <c r="B576" s="6">
        <v>3709.0</v>
      </c>
      <c r="C576" s="6">
        <v>18755.9</v>
      </c>
    </row>
    <row r="577">
      <c r="A577" s="5" t="s">
        <v>400</v>
      </c>
      <c r="B577" s="6">
        <v>3946.0</v>
      </c>
      <c r="C577" s="6">
        <v>18688.1</v>
      </c>
    </row>
    <row r="578">
      <c r="A578" s="5" t="s">
        <v>401</v>
      </c>
      <c r="B578" s="6">
        <v>4084.0</v>
      </c>
      <c r="C578" s="6">
        <v>18826.0</v>
      </c>
    </row>
    <row r="579">
      <c r="A579" s="5" t="s">
        <v>402</v>
      </c>
      <c r="B579" s="6">
        <v>3991.9</v>
      </c>
      <c r="C579" s="6">
        <v>18755.45</v>
      </c>
    </row>
    <row r="580">
      <c r="A580" s="5" t="s">
        <v>403</v>
      </c>
      <c r="B580" s="6">
        <v>3986.7</v>
      </c>
      <c r="C580" s="6">
        <v>18816.7</v>
      </c>
    </row>
    <row r="581">
      <c r="A581" s="5" t="s">
        <v>404</v>
      </c>
      <c r="B581" s="6">
        <v>3914.4</v>
      </c>
      <c r="C581" s="6">
        <v>18856.85</v>
      </c>
    </row>
    <row r="582">
      <c r="A582" s="5" t="s">
        <v>405</v>
      </c>
      <c r="B582" s="6">
        <v>3815.0</v>
      </c>
      <c r="C582" s="6">
        <v>18771.25</v>
      </c>
    </row>
    <row r="583">
      <c r="A583" s="5" t="s">
        <v>406</v>
      </c>
      <c r="B583" s="6">
        <v>3750.0</v>
      </c>
      <c r="C583" s="6">
        <v>18665.5</v>
      </c>
    </row>
    <row r="584">
      <c r="A584" s="5" t="s">
        <v>407</v>
      </c>
      <c r="B584" s="6">
        <v>3872.0</v>
      </c>
      <c r="C584" s="6">
        <v>18691.2</v>
      </c>
    </row>
    <row r="585">
      <c r="A585" s="5" t="s">
        <v>408</v>
      </c>
      <c r="B585" s="6">
        <v>3853.95</v>
      </c>
      <c r="C585" s="6">
        <v>18817.4</v>
      </c>
    </row>
    <row r="586">
      <c r="A586" s="5" t="s">
        <v>409</v>
      </c>
      <c r="B586" s="6">
        <v>3984.0</v>
      </c>
      <c r="C586" s="6">
        <v>18972.1</v>
      </c>
    </row>
    <row r="587">
      <c r="A587" s="5" t="s">
        <v>410</v>
      </c>
      <c r="B587" s="6">
        <v>3895.0</v>
      </c>
      <c r="C587" s="6">
        <v>19189.05</v>
      </c>
    </row>
    <row r="588">
      <c r="A588" s="5">
        <v>44992.0</v>
      </c>
      <c r="B588" s="6">
        <v>3856.0</v>
      </c>
      <c r="C588" s="6">
        <v>19322.55</v>
      </c>
    </row>
    <row r="589">
      <c r="A589" s="5">
        <v>45023.0</v>
      </c>
      <c r="B589" s="6">
        <v>3860.0</v>
      </c>
      <c r="C589" s="6">
        <v>19389.0</v>
      </c>
    </row>
    <row r="590">
      <c r="A590" s="5">
        <v>45053.0</v>
      </c>
      <c r="B590" s="6">
        <v>3829.0</v>
      </c>
      <c r="C590" s="6">
        <v>19398.5</v>
      </c>
    </row>
    <row r="591">
      <c r="A591" s="5">
        <v>45084.0</v>
      </c>
      <c r="B591" s="6">
        <v>3817.9</v>
      </c>
      <c r="C591" s="6">
        <v>19497.3</v>
      </c>
    </row>
    <row r="592">
      <c r="A592" s="5">
        <v>45114.0</v>
      </c>
      <c r="B592" s="6">
        <v>3820.0</v>
      </c>
      <c r="C592" s="6">
        <v>19331.8</v>
      </c>
    </row>
    <row r="593">
      <c r="A593" s="5">
        <v>45206.0</v>
      </c>
      <c r="B593" s="6">
        <v>3765.0</v>
      </c>
      <c r="C593" s="6">
        <v>19355.9</v>
      </c>
    </row>
    <row r="594">
      <c r="A594" s="5">
        <v>45237.0</v>
      </c>
      <c r="B594" s="6">
        <v>3833.0</v>
      </c>
      <c r="C594" s="6">
        <v>19439.4</v>
      </c>
    </row>
    <row r="595">
      <c r="A595" s="5">
        <v>45267.0</v>
      </c>
      <c r="B595" s="6">
        <v>3800.0</v>
      </c>
      <c r="C595" s="6">
        <v>19384.3</v>
      </c>
    </row>
    <row r="596">
      <c r="A596" s="5" t="s">
        <v>411</v>
      </c>
      <c r="B596" s="6">
        <v>3820.0</v>
      </c>
      <c r="C596" s="6">
        <v>19413.75</v>
      </c>
    </row>
    <row r="597">
      <c r="A597" s="5" t="s">
        <v>412</v>
      </c>
      <c r="B597" s="6">
        <v>3840.0</v>
      </c>
      <c r="C597" s="6">
        <v>19564.5</v>
      </c>
    </row>
    <row r="598">
      <c r="A598" s="5" t="s">
        <v>413</v>
      </c>
      <c r="B598" s="6">
        <v>3705.0</v>
      </c>
      <c r="C598" s="6">
        <v>19711.45</v>
      </c>
    </row>
    <row r="599">
      <c r="A599" s="5" t="s">
        <v>414</v>
      </c>
      <c r="B599" s="6">
        <v>3677.0</v>
      </c>
      <c r="C599" s="6">
        <v>19749.25</v>
      </c>
    </row>
    <row r="600">
      <c r="A600" s="5" t="s">
        <v>415</v>
      </c>
      <c r="B600" s="6">
        <v>3710.0</v>
      </c>
      <c r="C600" s="6">
        <v>19833.15</v>
      </c>
    </row>
    <row r="601">
      <c r="A601" s="5" t="s">
        <v>416</v>
      </c>
      <c r="B601" s="6">
        <v>3680.0</v>
      </c>
      <c r="C601" s="6">
        <v>19979.15</v>
      </c>
    </row>
    <row r="602">
      <c r="A602" s="5" t="s">
        <v>417</v>
      </c>
      <c r="B602" s="6">
        <v>3680.0</v>
      </c>
      <c r="C602" s="6">
        <v>19745.0</v>
      </c>
    </row>
    <row r="603">
      <c r="A603" s="5" t="s">
        <v>418</v>
      </c>
      <c r="B603" s="6">
        <v>3670.85</v>
      </c>
      <c r="C603" s="6">
        <v>19672.35</v>
      </c>
    </row>
    <row r="604">
      <c r="A604" s="5" t="s">
        <v>419</v>
      </c>
      <c r="B604" s="6">
        <v>3672.0</v>
      </c>
      <c r="C604" s="6">
        <v>19680.6</v>
      </c>
    </row>
    <row r="605">
      <c r="A605" s="5" t="s">
        <v>420</v>
      </c>
      <c r="B605" s="6">
        <v>3712.5</v>
      </c>
      <c r="C605" s="6">
        <v>19778.3</v>
      </c>
    </row>
    <row r="606">
      <c r="A606" s="5" t="s">
        <v>421</v>
      </c>
      <c r="B606" s="6">
        <v>3702.0</v>
      </c>
      <c r="C606" s="6">
        <v>19659.9</v>
      </c>
    </row>
    <row r="607">
      <c r="A607" s="5" t="s">
        <v>422</v>
      </c>
      <c r="B607" s="6">
        <v>3718.65</v>
      </c>
      <c r="C607" s="6">
        <v>19646.05</v>
      </c>
    </row>
    <row r="608">
      <c r="A608" s="5" t="s">
        <v>423</v>
      </c>
      <c r="B608" s="6">
        <v>3752.0</v>
      </c>
      <c r="C608" s="6">
        <v>19753.8</v>
      </c>
    </row>
    <row r="609">
      <c r="A609" s="5">
        <v>44934.0</v>
      </c>
      <c r="B609" s="6">
        <v>3744.0</v>
      </c>
      <c r="C609" s="6">
        <v>19733.55</v>
      </c>
    </row>
    <row r="610">
      <c r="A610" s="5">
        <v>44965.0</v>
      </c>
      <c r="B610" s="6">
        <v>3705.2</v>
      </c>
      <c r="C610" s="6">
        <v>19526.55</v>
      </c>
    </row>
    <row r="611">
      <c r="A611" s="5">
        <v>44993.0</v>
      </c>
      <c r="B611" s="6">
        <v>3703.0</v>
      </c>
      <c r="C611" s="6">
        <v>19381.65</v>
      </c>
    </row>
    <row r="612">
      <c r="A612" s="5">
        <v>45024.0</v>
      </c>
      <c r="B612" s="6">
        <v>3656.9</v>
      </c>
      <c r="C612" s="6">
        <v>19517.0</v>
      </c>
    </row>
    <row r="613">
      <c r="A613" s="5">
        <v>45115.0</v>
      </c>
      <c r="B613" s="6">
        <v>3639.9</v>
      </c>
      <c r="C613" s="6">
        <v>19597.3</v>
      </c>
    </row>
    <row r="614">
      <c r="A614" s="5">
        <v>45146.0</v>
      </c>
      <c r="B614" s="6">
        <v>3643.0</v>
      </c>
      <c r="C614" s="6">
        <v>19570.85</v>
      </c>
    </row>
    <row r="615">
      <c r="A615" s="5">
        <v>45177.0</v>
      </c>
      <c r="B615" s="6">
        <v>3630.0</v>
      </c>
      <c r="C615" s="6">
        <v>19632.55</v>
      </c>
    </row>
    <row r="616">
      <c r="A616" s="5">
        <v>45207.0</v>
      </c>
      <c r="B616" s="6">
        <v>3605.0</v>
      </c>
      <c r="C616" s="6">
        <v>19543.1</v>
      </c>
    </row>
    <row r="617">
      <c r="A617" s="5">
        <v>45238.0</v>
      </c>
      <c r="B617" s="6">
        <v>3552.9</v>
      </c>
      <c r="C617" s="6">
        <v>19428.3</v>
      </c>
    </row>
    <row r="618">
      <c r="A618" s="5" t="s">
        <v>424</v>
      </c>
      <c r="B618" s="6">
        <v>3515.0</v>
      </c>
      <c r="C618" s="6">
        <v>19434.55</v>
      </c>
    </row>
    <row r="619">
      <c r="A619" s="5" t="s">
        <v>425</v>
      </c>
      <c r="B619" s="6">
        <v>3500.0</v>
      </c>
      <c r="C619" s="6">
        <v>19465.0</v>
      </c>
    </row>
    <row r="620">
      <c r="A620" s="5" t="s">
        <v>426</v>
      </c>
      <c r="B620" s="6">
        <v>3510.0</v>
      </c>
      <c r="C620" s="6">
        <v>19365.25</v>
      </c>
    </row>
    <row r="621">
      <c r="A621" s="5" t="s">
        <v>427</v>
      </c>
      <c r="B621" s="6">
        <v>3532.0</v>
      </c>
      <c r="C621" s="6">
        <v>19310.15</v>
      </c>
    </row>
    <row r="622">
      <c r="A622" s="5" t="s">
        <v>428</v>
      </c>
      <c r="B622" s="6">
        <v>3549.0</v>
      </c>
      <c r="C622" s="6">
        <v>19393.6</v>
      </c>
    </row>
    <row r="623">
      <c r="A623" s="5" t="s">
        <v>429</v>
      </c>
      <c r="B623" s="6">
        <v>3571.6</v>
      </c>
      <c r="C623" s="6">
        <v>19396.45</v>
      </c>
    </row>
    <row r="624">
      <c r="A624" s="5" t="s">
        <v>430</v>
      </c>
      <c r="B624" s="6">
        <v>3544.0</v>
      </c>
      <c r="C624" s="6">
        <v>19444.0</v>
      </c>
    </row>
    <row r="625">
      <c r="A625" s="5" t="s">
        <v>431</v>
      </c>
      <c r="B625" s="6">
        <v>3567.0</v>
      </c>
      <c r="C625" s="6">
        <v>19386.7</v>
      </c>
    </row>
    <row r="626">
      <c r="A626" s="5" t="s">
        <v>432</v>
      </c>
      <c r="B626" s="6">
        <v>3533.0</v>
      </c>
      <c r="C626" s="6">
        <v>19265.8</v>
      </c>
    </row>
    <row r="627">
      <c r="A627" s="5" t="s">
        <v>433</v>
      </c>
      <c r="B627" s="6">
        <v>3591.5</v>
      </c>
      <c r="C627" s="6">
        <v>19306.05</v>
      </c>
    </row>
    <row r="628">
      <c r="A628" s="5" t="s">
        <v>434</v>
      </c>
      <c r="B628" s="6">
        <v>3666.0</v>
      </c>
      <c r="C628" s="6">
        <v>19342.65</v>
      </c>
    </row>
    <row r="629">
      <c r="A629" s="5" t="s">
        <v>435</v>
      </c>
      <c r="B629" s="6">
        <v>3733.8</v>
      </c>
      <c r="C629" s="6">
        <v>19347.45</v>
      </c>
    </row>
    <row r="630">
      <c r="A630" s="5" t="s">
        <v>436</v>
      </c>
      <c r="B630" s="6">
        <v>3715.0</v>
      </c>
      <c r="C630" s="6">
        <v>19253.8</v>
      </c>
    </row>
    <row r="631">
      <c r="A631" s="5">
        <v>44935.0</v>
      </c>
      <c r="B631" s="6">
        <v>3759.8</v>
      </c>
      <c r="C631" s="6">
        <v>19435.3</v>
      </c>
    </row>
    <row r="632">
      <c r="A632" s="5">
        <v>45025.0</v>
      </c>
      <c r="B632" s="6">
        <v>3750.0</v>
      </c>
      <c r="C632" s="6">
        <v>19528.8</v>
      </c>
    </row>
    <row r="633">
      <c r="A633" s="5">
        <v>45055.0</v>
      </c>
      <c r="B633" s="6">
        <v>3775.0</v>
      </c>
      <c r="C633" s="6">
        <v>19574.9</v>
      </c>
    </row>
    <row r="634">
      <c r="A634" s="5">
        <v>45086.0</v>
      </c>
      <c r="B634" s="6">
        <v>3790.0</v>
      </c>
      <c r="C634" s="6">
        <v>19611.05</v>
      </c>
    </row>
    <row r="635">
      <c r="A635" s="5">
        <v>45116.0</v>
      </c>
      <c r="B635" s="6">
        <v>3780.0</v>
      </c>
      <c r="C635" s="6">
        <v>19727.05</v>
      </c>
    </row>
    <row r="636">
      <c r="A636" s="5">
        <v>45147.0</v>
      </c>
      <c r="B636" s="6">
        <v>3783.05</v>
      </c>
      <c r="C636" s="6">
        <v>19819.95</v>
      </c>
    </row>
    <row r="637">
      <c r="A637" s="5">
        <v>45239.0</v>
      </c>
      <c r="B637" s="6">
        <v>3809.0</v>
      </c>
      <c r="C637" s="6">
        <v>19996.35</v>
      </c>
    </row>
    <row r="638">
      <c r="A638" s="5">
        <v>45269.0</v>
      </c>
      <c r="B638" s="6">
        <v>3752.1</v>
      </c>
      <c r="C638" s="6">
        <v>19993.2</v>
      </c>
    </row>
    <row r="639">
      <c r="A639" s="5" t="s">
        <v>437</v>
      </c>
      <c r="B639" s="6">
        <v>3792.0</v>
      </c>
      <c r="C639" s="6">
        <v>20070.0</v>
      </c>
    </row>
    <row r="640">
      <c r="A640" s="5" t="s">
        <v>438</v>
      </c>
      <c r="B640" s="6">
        <v>3801.0</v>
      </c>
      <c r="C640" s="6">
        <v>20103.1</v>
      </c>
    </row>
    <row r="641">
      <c r="A641" s="5" t="s">
        <v>439</v>
      </c>
      <c r="B641" s="6">
        <v>3785.0</v>
      </c>
      <c r="C641" s="6">
        <v>20192.35</v>
      </c>
    </row>
    <row r="642">
      <c r="A642" s="5" t="s">
        <v>440</v>
      </c>
      <c r="B642" s="6">
        <v>3797.05</v>
      </c>
      <c r="C642" s="6">
        <v>20133.3</v>
      </c>
    </row>
    <row r="643">
      <c r="A643" s="5" t="s">
        <v>441</v>
      </c>
      <c r="B643" s="6">
        <v>3738.0</v>
      </c>
      <c r="C643" s="6">
        <v>19901.4</v>
      </c>
    </row>
    <row r="644">
      <c r="A644" s="5" t="s">
        <v>442</v>
      </c>
      <c r="B644" s="6">
        <v>3690.0</v>
      </c>
      <c r="C644" s="6">
        <v>19742.35</v>
      </c>
    </row>
    <row r="645">
      <c r="A645" s="5" t="s">
        <v>443</v>
      </c>
      <c r="B645" s="6">
        <v>3697.25</v>
      </c>
      <c r="C645" s="6">
        <v>19674.25</v>
      </c>
    </row>
    <row r="646">
      <c r="A646" s="5" t="s">
        <v>444</v>
      </c>
      <c r="B646" s="6">
        <v>3664.85</v>
      </c>
      <c r="C646" s="6">
        <v>19674.55</v>
      </c>
    </row>
    <row r="647">
      <c r="A647" s="5" t="s">
        <v>445</v>
      </c>
      <c r="B647" s="6">
        <v>3630.0</v>
      </c>
      <c r="C647" s="6">
        <v>19664.7</v>
      </c>
    </row>
    <row r="648">
      <c r="A648" s="5" t="s">
        <v>446</v>
      </c>
      <c r="B648" s="6">
        <v>3650.0</v>
      </c>
      <c r="C648" s="6">
        <v>19716.45</v>
      </c>
    </row>
    <row r="649">
      <c r="A649" s="5" t="s">
        <v>447</v>
      </c>
      <c r="B649" s="6">
        <v>3665.0</v>
      </c>
      <c r="C649" s="6">
        <v>19523.55</v>
      </c>
    </row>
    <row r="650">
      <c r="A650" s="5" t="s">
        <v>448</v>
      </c>
      <c r="B650" s="6">
        <v>3680.7</v>
      </c>
      <c r="C650" s="6">
        <v>19638.3</v>
      </c>
    </row>
    <row r="651">
      <c r="A651" s="5">
        <v>44995.0</v>
      </c>
      <c r="B651" s="6">
        <v>3734.0</v>
      </c>
      <c r="C651" s="6">
        <v>19528.75</v>
      </c>
    </row>
    <row r="652">
      <c r="A652" s="5">
        <v>45026.0</v>
      </c>
      <c r="B652" s="6">
        <v>3860.0</v>
      </c>
      <c r="C652" s="6">
        <v>19436.1</v>
      </c>
    </row>
    <row r="653">
      <c r="A653" s="5">
        <v>45056.0</v>
      </c>
      <c r="B653" s="6">
        <v>3848.65</v>
      </c>
      <c r="C653" s="6">
        <v>19545.75</v>
      </c>
    </row>
    <row r="654">
      <c r="A654" s="5">
        <v>45087.0</v>
      </c>
      <c r="B654" s="6">
        <v>3830.0</v>
      </c>
      <c r="C654" s="6">
        <v>19653.5</v>
      </c>
    </row>
    <row r="655">
      <c r="A655" s="5">
        <v>45179.0</v>
      </c>
      <c r="B655" s="6">
        <v>3799.0</v>
      </c>
      <c r="C655" s="6">
        <v>19512.35</v>
      </c>
    </row>
    <row r="656">
      <c r="A656" s="5">
        <v>45209.0</v>
      </c>
      <c r="B656" s="6">
        <v>3791.1</v>
      </c>
      <c r="C656" s="6">
        <v>19689.85</v>
      </c>
    </row>
    <row r="657">
      <c r="A657" s="5">
        <v>45240.0</v>
      </c>
      <c r="B657" s="6">
        <v>3837.45</v>
      </c>
      <c r="C657" s="6">
        <v>19811.35</v>
      </c>
    </row>
    <row r="658">
      <c r="A658" s="5">
        <v>45270.0</v>
      </c>
      <c r="B658" s="6">
        <v>3848.0</v>
      </c>
      <c r="C658" s="6">
        <v>19794.0</v>
      </c>
    </row>
    <row r="659">
      <c r="A659" s="5" t="s">
        <v>449</v>
      </c>
      <c r="B659" s="6">
        <v>3920.0</v>
      </c>
      <c r="C659" s="6">
        <v>19751.05</v>
      </c>
    </row>
    <row r="660">
      <c r="A660" s="5" t="s">
        <v>450</v>
      </c>
      <c r="B660" s="6">
        <v>3865.0</v>
      </c>
      <c r="C660" s="6">
        <v>19731.75</v>
      </c>
    </row>
    <row r="661">
      <c r="A661" s="5" t="s">
        <v>451</v>
      </c>
      <c r="B661" s="6">
        <v>3836.7</v>
      </c>
      <c r="C661" s="6">
        <v>19811.5</v>
      </c>
    </row>
    <row r="662">
      <c r="A662" s="5" t="s">
        <v>452</v>
      </c>
      <c r="B662" s="6">
        <v>3800.0</v>
      </c>
      <c r="C662" s="6">
        <v>19671.1</v>
      </c>
    </row>
    <row r="663">
      <c r="A663" s="5" t="s">
        <v>453</v>
      </c>
      <c r="B663" s="6">
        <v>3774.0</v>
      </c>
      <c r="C663" s="6">
        <v>19624.7</v>
      </c>
    </row>
    <row r="664">
      <c r="A664" s="5" t="s">
        <v>454</v>
      </c>
      <c r="B664" s="6">
        <v>3750.0</v>
      </c>
      <c r="C664" s="6">
        <v>19542.65</v>
      </c>
    </row>
    <row r="665">
      <c r="A665" s="5" t="s">
        <v>455</v>
      </c>
      <c r="B665" s="6">
        <v>3650.0</v>
      </c>
      <c r="C665" s="6">
        <v>19281.75</v>
      </c>
    </row>
    <row r="666">
      <c r="A666" s="5" t="s">
        <v>456</v>
      </c>
      <c r="B666" s="6">
        <v>3741.0</v>
      </c>
      <c r="C666" s="6">
        <v>19122.15</v>
      </c>
    </row>
    <row r="667">
      <c r="A667" s="5" t="s">
        <v>457</v>
      </c>
      <c r="B667" s="6">
        <v>3700.0</v>
      </c>
      <c r="C667" s="6">
        <v>18857.25</v>
      </c>
    </row>
    <row r="668">
      <c r="A668" s="5" t="s">
        <v>458</v>
      </c>
      <c r="B668" s="6">
        <v>3664.95</v>
      </c>
      <c r="C668" s="6">
        <v>19047.25</v>
      </c>
    </row>
    <row r="669">
      <c r="A669" s="5" t="s">
        <v>459</v>
      </c>
      <c r="B669" s="6">
        <v>3646.85</v>
      </c>
      <c r="C669" s="6">
        <v>19140.9</v>
      </c>
    </row>
    <row r="670">
      <c r="A670" s="5" t="s">
        <v>460</v>
      </c>
      <c r="B670" s="6">
        <v>3632.55</v>
      </c>
      <c r="C670" s="6">
        <v>19079.6</v>
      </c>
    </row>
    <row r="671">
      <c r="A671" s="5">
        <v>44937.0</v>
      </c>
      <c r="B671" s="6">
        <v>3628.05</v>
      </c>
      <c r="C671" s="6">
        <v>18989.15</v>
      </c>
    </row>
    <row r="672">
      <c r="A672" s="5">
        <v>44968.0</v>
      </c>
      <c r="B672" s="6">
        <v>3653.0</v>
      </c>
      <c r="C672" s="6">
        <v>19133.25</v>
      </c>
    </row>
    <row r="673">
      <c r="A673" s="5">
        <v>44996.0</v>
      </c>
      <c r="B673" s="6">
        <v>3650.0</v>
      </c>
      <c r="C673" s="6">
        <v>19230.6</v>
      </c>
    </row>
    <row r="674">
      <c r="A674" s="5">
        <v>45088.0</v>
      </c>
      <c r="B674" s="6">
        <v>3649.25</v>
      </c>
      <c r="C674" s="6">
        <v>19411.75</v>
      </c>
    </row>
    <row r="675">
      <c r="A675" s="5">
        <v>45118.0</v>
      </c>
      <c r="B675" s="6">
        <v>3655.1</v>
      </c>
      <c r="C675" s="6">
        <v>19406.7</v>
      </c>
    </row>
    <row r="676">
      <c r="A676" s="5">
        <v>45149.0</v>
      </c>
      <c r="B676" s="6">
        <v>3726.8</v>
      </c>
      <c r="C676" s="6">
        <v>19443.5</v>
      </c>
    </row>
    <row r="677">
      <c r="A677" s="5">
        <v>45180.0</v>
      </c>
      <c r="B677" s="6">
        <v>3750.0</v>
      </c>
      <c r="C677" s="6">
        <v>19395.3</v>
      </c>
    </row>
    <row r="678">
      <c r="A678" s="5">
        <v>45210.0</v>
      </c>
      <c r="B678" s="6">
        <v>3798.8</v>
      </c>
      <c r="C678" s="6">
        <v>19425.35</v>
      </c>
    </row>
    <row r="679">
      <c r="A679" s="5">
        <v>45271.0</v>
      </c>
      <c r="B679" s="6">
        <v>3802.0</v>
      </c>
      <c r="C679" s="6">
        <v>19525.55</v>
      </c>
    </row>
    <row r="680">
      <c r="A680" s="5" t="s">
        <v>461</v>
      </c>
      <c r="B680" s="6">
        <v>3795.05</v>
      </c>
      <c r="C680" s="6">
        <v>19443.55</v>
      </c>
    </row>
    <row r="681">
      <c r="A681" s="5" t="s">
        <v>462</v>
      </c>
      <c r="B681" s="6">
        <v>3788.45</v>
      </c>
      <c r="C681" s="6">
        <v>19675.45</v>
      </c>
    </row>
    <row r="682">
      <c r="A682" s="5" t="s">
        <v>463</v>
      </c>
      <c r="B682" s="6">
        <v>3793.8</v>
      </c>
      <c r="C682" s="6">
        <v>19765.2</v>
      </c>
    </row>
    <row r="683">
      <c r="A683" s="5" t="s">
        <v>464</v>
      </c>
      <c r="B683" s="6">
        <v>3806.0</v>
      </c>
      <c r="C683" s="6">
        <v>19731.8</v>
      </c>
    </row>
    <row r="684">
      <c r="A684" s="5" t="s">
        <v>465</v>
      </c>
      <c r="B684" s="6">
        <v>3804.0</v>
      </c>
      <c r="C684" s="6">
        <v>19694.0</v>
      </c>
    </row>
    <row r="685">
      <c r="A685" s="5" t="s">
        <v>466</v>
      </c>
      <c r="B685" s="6">
        <v>3815.15</v>
      </c>
      <c r="C685" s="6">
        <v>19783.4</v>
      </c>
    </row>
    <row r="686">
      <c r="A686" s="5" t="s">
        <v>467</v>
      </c>
      <c r="B686" s="6">
        <v>3845.0</v>
      </c>
      <c r="C686" s="6">
        <v>19811.85</v>
      </c>
    </row>
    <row r="687">
      <c r="A687" s="5" t="s">
        <v>468</v>
      </c>
      <c r="B687" s="6">
        <v>3843.0</v>
      </c>
      <c r="C687" s="6">
        <v>19802.0</v>
      </c>
    </row>
    <row r="688">
      <c r="A688" s="5" t="s">
        <v>469</v>
      </c>
      <c r="B688" s="6">
        <v>3845.2</v>
      </c>
      <c r="C688" s="6">
        <v>19794.7</v>
      </c>
    </row>
    <row r="689">
      <c r="A689" s="5" t="s">
        <v>470</v>
      </c>
      <c r="B689" s="6">
        <v>3927.0</v>
      </c>
      <c r="C689" s="6">
        <v>19889.7</v>
      </c>
    </row>
    <row r="690">
      <c r="A690" s="5" t="s">
        <v>471</v>
      </c>
      <c r="B690" s="6">
        <v>3869.95</v>
      </c>
      <c r="C690" s="6">
        <v>20096.6</v>
      </c>
    </row>
    <row r="691">
      <c r="A691" s="5" t="s">
        <v>472</v>
      </c>
      <c r="B691" s="6">
        <v>3950.0</v>
      </c>
      <c r="C691" s="6">
        <v>20133.15</v>
      </c>
    </row>
    <row r="692">
      <c r="A692" s="5">
        <v>44938.0</v>
      </c>
      <c r="B692" s="6">
        <v>3985.0</v>
      </c>
      <c r="C692" s="6">
        <v>20267.9</v>
      </c>
    </row>
    <row r="693">
      <c r="A693" s="5">
        <v>45028.0</v>
      </c>
      <c r="B693" s="6">
        <v>3966.1</v>
      </c>
      <c r="C693" s="6">
        <v>20686.8</v>
      </c>
    </row>
    <row r="694">
      <c r="A694" s="5">
        <v>45058.0</v>
      </c>
      <c r="B694" s="6">
        <v>4036.0</v>
      </c>
      <c r="C694" s="6">
        <v>20855.1</v>
      </c>
    </row>
    <row r="695">
      <c r="A695" s="5">
        <v>45089.0</v>
      </c>
      <c r="B695" s="6">
        <v>4153.0</v>
      </c>
      <c r="C695" s="6">
        <v>20937.7</v>
      </c>
    </row>
    <row r="696">
      <c r="A696" s="5">
        <v>45119.0</v>
      </c>
      <c r="B696" s="6">
        <v>4124.0</v>
      </c>
      <c r="C696" s="6">
        <v>20901.15</v>
      </c>
    </row>
    <row r="697">
      <c r="A697" s="5">
        <v>45150.0</v>
      </c>
      <c r="B697" s="6">
        <v>4065.0</v>
      </c>
      <c r="C697" s="6">
        <v>20969.4</v>
      </c>
    </row>
    <row r="698">
      <c r="A698" s="5">
        <v>45242.0</v>
      </c>
      <c r="B698" s="6">
        <v>4075.0</v>
      </c>
      <c r="C698" s="6">
        <v>20997.1</v>
      </c>
    </row>
    <row r="699">
      <c r="A699" s="5">
        <v>45272.0</v>
      </c>
      <c r="B699" s="6">
        <v>4073.55</v>
      </c>
      <c r="C699" s="6">
        <v>20906.4</v>
      </c>
    </row>
    <row r="700">
      <c r="A700" s="5" t="s">
        <v>473</v>
      </c>
      <c r="B700" s="6">
        <v>4042.0</v>
      </c>
      <c r="C700" s="6">
        <v>20926.35</v>
      </c>
    </row>
    <row r="701">
      <c r="A701" s="5" t="s">
        <v>474</v>
      </c>
      <c r="B701" s="6">
        <v>4079.0</v>
      </c>
      <c r="C701" s="6">
        <v>21182.7</v>
      </c>
    </row>
    <row r="702">
      <c r="A702" s="5" t="s">
        <v>475</v>
      </c>
      <c r="B702" s="6">
        <v>4041.75</v>
      </c>
      <c r="C702" s="6">
        <v>21456.65</v>
      </c>
    </row>
    <row r="703">
      <c r="A703" s="5" t="s">
        <v>476</v>
      </c>
      <c r="B703" s="6">
        <v>4002.0</v>
      </c>
      <c r="C703" s="6">
        <v>21418.65</v>
      </c>
    </row>
    <row r="704">
      <c r="A704" s="5" t="s">
        <v>477</v>
      </c>
      <c r="B704" s="6">
        <v>4030.0</v>
      </c>
      <c r="C704" s="6">
        <v>21453.1</v>
      </c>
    </row>
    <row r="705">
      <c r="A705" s="5" t="s">
        <v>478</v>
      </c>
      <c r="B705" s="6">
        <v>3970.0</v>
      </c>
      <c r="C705" s="6">
        <v>21150.15</v>
      </c>
    </row>
    <row r="706">
      <c r="A706" s="5" t="s">
        <v>479</v>
      </c>
      <c r="B706" s="6">
        <v>3956.0</v>
      </c>
      <c r="C706" s="6">
        <v>21255.05</v>
      </c>
    </row>
    <row r="707">
      <c r="A707" s="5" t="s">
        <v>480</v>
      </c>
      <c r="B707" s="6">
        <v>4010.0</v>
      </c>
      <c r="C707" s="6">
        <v>21349.4</v>
      </c>
    </row>
    <row r="708">
      <c r="A708" s="5" t="s">
        <v>481</v>
      </c>
      <c r="B708" s="6">
        <v>4023.9</v>
      </c>
      <c r="C708" s="6">
        <v>21441.35</v>
      </c>
    </row>
    <row r="709">
      <c r="A709" s="5" t="s">
        <v>482</v>
      </c>
      <c r="B709" s="6">
        <v>4008.0</v>
      </c>
      <c r="C709" s="6">
        <v>21654.75</v>
      </c>
    </row>
    <row r="710">
      <c r="A710" s="5" t="s">
        <v>483</v>
      </c>
      <c r="B710" s="6">
        <v>4045.0</v>
      </c>
      <c r="C710" s="6">
        <v>21778.7</v>
      </c>
    </row>
    <row r="711">
      <c r="A711" s="5" t="s">
        <v>484</v>
      </c>
      <c r="B711" s="6">
        <v>4060.0</v>
      </c>
      <c r="C711" s="6">
        <v>21731.4</v>
      </c>
    </row>
    <row r="712">
      <c r="A712" s="5">
        <v>45292.0</v>
      </c>
      <c r="B712" s="6">
        <v>4065.0</v>
      </c>
      <c r="C712" s="6">
        <v>21741.9</v>
      </c>
    </row>
    <row r="713">
      <c r="A713" s="5">
        <v>45323.0</v>
      </c>
      <c r="B713" s="6">
        <v>4091.0</v>
      </c>
      <c r="C713" s="6">
        <v>21665.8</v>
      </c>
    </row>
    <row r="714">
      <c r="A714" s="5">
        <v>45352.0</v>
      </c>
      <c r="B714" s="6">
        <v>3940.0</v>
      </c>
      <c r="C714" s="6">
        <v>21517.35</v>
      </c>
    </row>
    <row r="715">
      <c r="A715" s="5">
        <v>45383.0</v>
      </c>
      <c r="B715" s="6">
        <v>3903.95</v>
      </c>
      <c r="C715" s="6">
        <v>21658.6</v>
      </c>
    </row>
    <row r="716">
      <c r="A716" s="5">
        <v>45413.0</v>
      </c>
      <c r="B716" s="6">
        <v>3880.0</v>
      </c>
      <c r="C716" s="6">
        <v>21710.8</v>
      </c>
    </row>
    <row r="717">
      <c r="A717" s="5">
        <v>45505.0</v>
      </c>
      <c r="B717" s="6">
        <v>3814.5</v>
      </c>
      <c r="C717" s="6">
        <v>21513.0</v>
      </c>
    </row>
    <row r="718">
      <c r="A718" s="5">
        <v>45536.0</v>
      </c>
      <c r="B718" s="6">
        <v>3818.95</v>
      </c>
      <c r="C718" s="6">
        <v>21544.85</v>
      </c>
    </row>
    <row r="719">
      <c r="A719" s="5">
        <v>45566.0</v>
      </c>
      <c r="B719" s="6">
        <v>3823.0</v>
      </c>
      <c r="C719" s="6">
        <v>21618.7</v>
      </c>
    </row>
    <row r="720">
      <c r="A720" s="5">
        <v>45597.0</v>
      </c>
      <c r="B720" s="6">
        <v>3827.0</v>
      </c>
      <c r="C720" s="6">
        <v>21647.2</v>
      </c>
    </row>
    <row r="721">
      <c r="A721" s="5">
        <v>45627.0</v>
      </c>
      <c r="B721" s="6">
        <v>3843.0</v>
      </c>
      <c r="C721" s="6">
        <v>21894.55</v>
      </c>
    </row>
    <row r="722">
      <c r="A722" s="5" t="s">
        <v>485</v>
      </c>
      <c r="B722" s="6">
        <v>3855.05</v>
      </c>
      <c r="C722" s="6">
        <v>22097.45</v>
      </c>
    </row>
    <row r="723">
      <c r="A723" s="5" t="s">
        <v>486</v>
      </c>
      <c r="B723" s="6">
        <v>3825.1</v>
      </c>
      <c r="C723" s="6">
        <v>22032.3</v>
      </c>
    </row>
    <row r="724">
      <c r="A724" s="5" t="s">
        <v>487</v>
      </c>
      <c r="B724" s="6">
        <v>3782.0</v>
      </c>
      <c r="C724" s="6">
        <v>21571.95</v>
      </c>
    </row>
    <row r="725">
      <c r="A725" s="5" t="s">
        <v>488</v>
      </c>
      <c r="B725" s="6">
        <v>3748.0</v>
      </c>
      <c r="C725" s="6">
        <v>21462.25</v>
      </c>
    </row>
    <row r="726">
      <c r="A726" s="5" t="s">
        <v>489</v>
      </c>
      <c r="B726" s="6">
        <v>3745.0</v>
      </c>
      <c r="C726" s="6">
        <v>21622.4</v>
      </c>
    </row>
    <row r="727">
      <c r="A727" s="5" t="s">
        <v>490</v>
      </c>
      <c r="B727" s="6">
        <v>3681.0</v>
      </c>
      <c r="C727" s="6">
        <v>21571.8</v>
      </c>
    </row>
    <row r="728">
      <c r="A728" s="5" t="s">
        <v>491</v>
      </c>
      <c r="B728" s="6">
        <v>3672.0</v>
      </c>
      <c r="C728" s="6">
        <v>21238.8</v>
      </c>
    </row>
    <row r="729">
      <c r="A729" s="5" t="s">
        <v>492</v>
      </c>
      <c r="B729" s="6">
        <v>3720.0</v>
      </c>
      <c r="C729" s="6">
        <v>21453.95</v>
      </c>
    </row>
    <row r="730">
      <c r="A730" s="5" t="s">
        <v>493</v>
      </c>
      <c r="B730" s="6">
        <v>3745.0</v>
      </c>
      <c r="C730" s="6">
        <v>21352.6</v>
      </c>
    </row>
    <row r="731">
      <c r="A731" s="5" t="s">
        <v>494</v>
      </c>
      <c r="B731" s="6">
        <v>3764.2</v>
      </c>
      <c r="C731" s="6">
        <v>21737.6</v>
      </c>
    </row>
    <row r="732">
      <c r="A732" s="5" t="s">
        <v>495</v>
      </c>
      <c r="B732" s="6">
        <v>3699.0</v>
      </c>
      <c r="C732" s="6">
        <v>21522.1</v>
      </c>
    </row>
    <row r="733">
      <c r="A733" s="5" t="s">
        <v>496</v>
      </c>
      <c r="B733" s="6">
        <v>3810.0</v>
      </c>
      <c r="C733" s="6">
        <v>21725.7</v>
      </c>
    </row>
    <row r="734">
      <c r="A734" s="5">
        <v>45293.0</v>
      </c>
      <c r="B734" s="6">
        <v>3792.0</v>
      </c>
      <c r="C734" s="6">
        <v>21697.45</v>
      </c>
    </row>
    <row r="735">
      <c r="A735" s="5">
        <v>45324.0</v>
      </c>
      <c r="B735" s="6">
        <v>3771.0</v>
      </c>
      <c r="C735" s="6">
        <v>21853.8</v>
      </c>
    </row>
    <row r="736">
      <c r="A736" s="5">
        <v>45414.0</v>
      </c>
      <c r="B736" s="6">
        <v>3729.0</v>
      </c>
      <c r="C736" s="6">
        <v>21771.7</v>
      </c>
    </row>
    <row r="737">
      <c r="A737" s="5">
        <v>45445.0</v>
      </c>
      <c r="B737" s="6">
        <v>3737.0</v>
      </c>
      <c r="C737" s="6">
        <v>21929.4</v>
      </c>
    </row>
    <row r="738">
      <c r="A738" s="5">
        <v>45475.0</v>
      </c>
      <c r="B738" s="6">
        <v>3716.0</v>
      </c>
      <c r="C738" s="6">
        <v>21930.5</v>
      </c>
    </row>
    <row r="739">
      <c r="A739" s="5">
        <v>45506.0</v>
      </c>
      <c r="B739" s="6">
        <v>3729.9</v>
      </c>
      <c r="C739" s="6">
        <v>21717.95</v>
      </c>
    </row>
    <row r="740">
      <c r="A740" s="5">
        <v>45537.0</v>
      </c>
      <c r="B740" s="6">
        <v>3723.0</v>
      </c>
      <c r="C740" s="6">
        <v>21782.5</v>
      </c>
    </row>
    <row r="741">
      <c r="A741" s="5">
        <v>45628.0</v>
      </c>
      <c r="B741" s="6">
        <v>3675.0</v>
      </c>
      <c r="C741" s="6">
        <v>21616.05</v>
      </c>
    </row>
    <row r="742">
      <c r="A742" s="5" t="s">
        <v>497</v>
      </c>
      <c r="B742" s="6">
        <v>3700.0</v>
      </c>
      <c r="C742" s="6">
        <v>21743.25</v>
      </c>
    </row>
    <row r="743">
      <c r="A743" s="5" t="s">
        <v>498</v>
      </c>
      <c r="B743" s="6">
        <v>3711.0</v>
      </c>
      <c r="C743" s="6">
        <v>21840.05</v>
      </c>
    </row>
    <row r="744">
      <c r="A744" s="5" t="s">
        <v>499</v>
      </c>
      <c r="B744" s="6">
        <v>3685.0</v>
      </c>
      <c r="C744" s="6">
        <v>21910.75</v>
      </c>
    </row>
    <row r="745">
      <c r="A745" s="5" t="s">
        <v>500</v>
      </c>
      <c r="B745" s="6">
        <v>3690.0</v>
      </c>
      <c r="C745" s="6">
        <v>22040.7</v>
      </c>
    </row>
    <row r="746">
      <c r="A746" s="5" t="s">
        <v>501</v>
      </c>
      <c r="B746" s="6">
        <v>3707.0</v>
      </c>
      <c r="C746" s="6">
        <v>22122.25</v>
      </c>
    </row>
    <row r="747">
      <c r="A747" s="5" t="s">
        <v>502</v>
      </c>
      <c r="B747" s="6">
        <v>3751.6</v>
      </c>
      <c r="C747" s="6">
        <v>22196.95</v>
      </c>
    </row>
    <row r="748">
      <c r="A748" s="5" t="s">
        <v>503</v>
      </c>
      <c r="B748" s="6">
        <v>3833.0</v>
      </c>
      <c r="C748" s="6">
        <v>22055.05</v>
      </c>
    </row>
    <row r="749">
      <c r="A749" s="5" t="s">
        <v>504</v>
      </c>
      <c r="B749" s="6">
        <v>3848.0</v>
      </c>
      <c r="C749" s="6">
        <v>22217.45</v>
      </c>
    </row>
    <row r="750">
      <c r="A750" s="5" t="s">
        <v>505</v>
      </c>
      <c r="B750" s="6">
        <v>3849.0</v>
      </c>
      <c r="C750" s="6">
        <v>22212.7</v>
      </c>
    </row>
    <row r="751">
      <c r="A751" s="5" t="s">
        <v>506</v>
      </c>
      <c r="B751" s="6">
        <v>3852.0</v>
      </c>
      <c r="C751" s="6">
        <v>22122.05</v>
      </c>
    </row>
    <row r="752">
      <c r="A752" s="5" t="s">
        <v>507</v>
      </c>
      <c r="B752" s="6">
        <v>3841.55</v>
      </c>
      <c r="C752" s="6">
        <v>22198.35</v>
      </c>
    </row>
    <row r="753">
      <c r="A753" s="5" t="s">
        <v>508</v>
      </c>
      <c r="B753" s="6">
        <v>3851.8</v>
      </c>
      <c r="C753" s="6">
        <v>21951.15</v>
      </c>
    </row>
    <row r="754">
      <c r="A754" s="5" t="s">
        <v>509</v>
      </c>
      <c r="B754" s="6">
        <v>3915.2</v>
      </c>
      <c r="C754" s="6">
        <v>21982.8</v>
      </c>
    </row>
    <row r="755">
      <c r="A755" s="5">
        <v>45294.0</v>
      </c>
      <c r="B755" s="6">
        <v>3896.25</v>
      </c>
      <c r="C755" s="6">
        <v>22338.75</v>
      </c>
    </row>
    <row r="756">
      <c r="A756" s="5">
        <v>45385.0</v>
      </c>
      <c r="B756" s="6">
        <v>3851.15</v>
      </c>
      <c r="C756" s="6">
        <v>22405.6</v>
      </c>
    </row>
    <row r="757">
      <c r="A757" s="5">
        <v>45415.0</v>
      </c>
      <c r="B757" s="6">
        <v>3830.05</v>
      </c>
      <c r="C757" s="6">
        <v>22356.3</v>
      </c>
    </row>
    <row r="758">
      <c r="A758" s="5">
        <v>45446.0</v>
      </c>
      <c r="B758" s="6">
        <v>3892.0</v>
      </c>
      <c r="C758" s="6">
        <v>22474.05</v>
      </c>
    </row>
    <row r="759">
      <c r="A759" s="5">
        <v>45476.0</v>
      </c>
      <c r="B759" s="6">
        <v>3923.0</v>
      </c>
      <c r="C759" s="6">
        <v>22493.55</v>
      </c>
    </row>
    <row r="760">
      <c r="A760" s="5">
        <v>45599.0</v>
      </c>
      <c r="B760" s="6">
        <v>3986.0</v>
      </c>
      <c r="C760" s="6">
        <v>22332.65</v>
      </c>
    </row>
    <row r="761">
      <c r="A761" s="5">
        <v>45629.0</v>
      </c>
      <c r="B761" s="6">
        <v>4028.4</v>
      </c>
      <c r="C761" s="6">
        <v>22335.7</v>
      </c>
    </row>
    <row r="762">
      <c r="A762" s="5" t="s">
        <v>510</v>
      </c>
      <c r="B762" s="6">
        <v>3970.0</v>
      </c>
      <c r="C762" s="6">
        <v>21997.7</v>
      </c>
    </row>
    <row r="763">
      <c r="A763" s="5" t="s">
        <v>511</v>
      </c>
      <c r="B763" s="6">
        <v>4032.0</v>
      </c>
      <c r="C763" s="6">
        <v>22146.65</v>
      </c>
    </row>
    <row r="764">
      <c r="A764" s="5" t="s">
        <v>512</v>
      </c>
      <c r="B764" s="6">
        <v>3912.0</v>
      </c>
      <c r="C764" s="6">
        <v>22023.35</v>
      </c>
    </row>
    <row r="765">
      <c r="A765" s="5" t="s">
        <v>513</v>
      </c>
      <c r="B765" s="6">
        <v>4000.0</v>
      </c>
      <c r="C765" s="6">
        <v>22055.7</v>
      </c>
    </row>
    <row r="766">
      <c r="A766" s="5" t="s">
        <v>514</v>
      </c>
      <c r="B766" s="6">
        <v>4006.0</v>
      </c>
      <c r="C766" s="6">
        <v>21817.45</v>
      </c>
    </row>
    <row r="767">
      <c r="A767" s="5" t="s">
        <v>515</v>
      </c>
      <c r="B767" s="6">
        <v>4049.95</v>
      </c>
      <c r="C767" s="6">
        <v>21839.1</v>
      </c>
    </row>
    <row r="768">
      <c r="A768" s="5" t="s">
        <v>516</v>
      </c>
      <c r="B768" s="6">
        <v>4158.0</v>
      </c>
      <c r="C768" s="6">
        <v>22011.95</v>
      </c>
    </row>
    <row r="769">
      <c r="A769" s="5" t="s">
        <v>517</v>
      </c>
      <c r="B769" s="6">
        <v>4292.0</v>
      </c>
      <c r="C769" s="6">
        <v>22096.75</v>
      </c>
    </row>
    <row r="770">
      <c r="A770" s="5" t="s">
        <v>518</v>
      </c>
      <c r="B770" s="6">
        <v>4450.0</v>
      </c>
      <c r="C770" s="6">
        <v>22004.7</v>
      </c>
    </row>
    <row r="771">
      <c r="A771" s="5" t="s">
        <v>519</v>
      </c>
      <c r="B771" s="6">
        <v>4417.9</v>
      </c>
      <c r="C771" s="6">
        <v>22123.65</v>
      </c>
    </row>
    <row r="772">
      <c r="A772" s="5" t="s">
        <v>520</v>
      </c>
      <c r="B772" s="6">
        <v>4529.9</v>
      </c>
      <c r="C772" s="6">
        <v>22326.9</v>
      </c>
    </row>
    <row r="773">
      <c r="A773" s="5">
        <v>45295.0</v>
      </c>
      <c r="B773" s="6">
        <v>4484.0</v>
      </c>
      <c r="C773" s="6">
        <v>22462.0</v>
      </c>
    </row>
    <row r="774">
      <c r="A774" s="5">
        <v>45326.0</v>
      </c>
      <c r="B774" s="6">
        <v>4407.0</v>
      </c>
      <c r="C774" s="6">
        <v>22453.3</v>
      </c>
    </row>
    <row r="775">
      <c r="A775" s="5">
        <v>45355.0</v>
      </c>
      <c r="B775" s="6">
        <v>4465.0</v>
      </c>
      <c r="C775" s="6">
        <v>22434.65</v>
      </c>
    </row>
    <row r="776">
      <c r="A776" s="5">
        <v>45386.0</v>
      </c>
      <c r="B776" s="6">
        <v>4639.8</v>
      </c>
      <c r="C776" s="6">
        <v>22514.65</v>
      </c>
    </row>
    <row r="777">
      <c r="A777" s="5">
        <v>45416.0</v>
      </c>
      <c r="B777" s="6">
        <v>4639.85</v>
      </c>
      <c r="C777" s="6">
        <v>22513.7</v>
      </c>
    </row>
    <row r="778">
      <c r="A778" s="5">
        <v>45508.0</v>
      </c>
      <c r="B778" s="6">
        <v>4660.0</v>
      </c>
      <c r="C778" s="6">
        <v>22666.3</v>
      </c>
    </row>
    <row r="779">
      <c r="A779" s="5">
        <v>45539.0</v>
      </c>
      <c r="B779" s="6">
        <v>4715.0</v>
      </c>
      <c r="C779" s="6">
        <v>22642.75</v>
      </c>
    </row>
    <row r="780">
      <c r="A780" s="5">
        <v>45569.0</v>
      </c>
      <c r="B780" s="6">
        <v>4737.35</v>
      </c>
      <c r="C780" s="6">
        <v>22753.8</v>
      </c>
    </row>
    <row r="781">
      <c r="A781" s="5">
        <v>45630.0</v>
      </c>
      <c r="B781" s="6">
        <v>4765.85</v>
      </c>
      <c r="C781" s="6">
        <v>22519.4</v>
      </c>
    </row>
    <row r="782">
      <c r="A782" s="5" t="s">
        <v>521</v>
      </c>
      <c r="B782" s="6">
        <v>4687.0</v>
      </c>
      <c r="C782" s="6">
        <v>22272.5</v>
      </c>
    </row>
    <row r="783">
      <c r="A783" s="5" t="s">
        <v>522</v>
      </c>
      <c r="B783" s="6">
        <v>4630.0</v>
      </c>
      <c r="C783" s="6">
        <v>22147.9</v>
      </c>
    </row>
    <row r="784">
      <c r="A784" s="5" t="s">
        <v>523</v>
      </c>
      <c r="B784" s="6">
        <v>4637.95</v>
      </c>
      <c r="C784" s="6">
        <v>21995.85</v>
      </c>
    </row>
    <row r="785">
      <c r="A785" s="5" t="s">
        <v>524</v>
      </c>
      <c r="B785" s="6">
        <v>4711.0</v>
      </c>
      <c r="C785" s="6">
        <v>22147.0</v>
      </c>
    </row>
    <row r="786">
      <c r="A786" s="5" t="s">
        <v>525</v>
      </c>
      <c r="B786" s="6">
        <v>4763.0</v>
      </c>
      <c r="C786" s="6">
        <v>22336.4</v>
      </c>
    </row>
    <row r="787">
      <c r="A787" s="5" t="s">
        <v>526</v>
      </c>
      <c r="B787" s="6">
        <v>4785.0</v>
      </c>
      <c r="C787" s="6">
        <v>22368.0</v>
      </c>
    </row>
    <row r="788">
      <c r="A788" s="5" t="s">
        <v>527</v>
      </c>
      <c r="B788" s="6">
        <v>4789.95</v>
      </c>
      <c r="C788" s="6">
        <v>22402.4</v>
      </c>
    </row>
    <row r="789">
      <c r="A789" s="5" t="s">
        <v>528</v>
      </c>
      <c r="B789" s="6">
        <v>4655.0</v>
      </c>
      <c r="C789" s="6">
        <v>22570.35</v>
      </c>
    </row>
    <row r="790">
      <c r="A790" s="5" t="s">
        <v>529</v>
      </c>
      <c r="B790" s="6">
        <v>4562.0</v>
      </c>
      <c r="C790" s="6">
        <v>22419.95</v>
      </c>
    </row>
    <row r="791">
      <c r="A791" s="5" t="s">
        <v>530</v>
      </c>
      <c r="B791" s="6">
        <v>4483.15</v>
      </c>
      <c r="C791" s="6">
        <v>22643.4</v>
      </c>
    </row>
    <row r="792">
      <c r="A792" s="5" t="s">
        <v>531</v>
      </c>
      <c r="B792" s="6">
        <v>4605.0</v>
      </c>
      <c r="C792" s="6">
        <v>22604.85</v>
      </c>
    </row>
    <row r="793">
      <c r="A793" s="5">
        <v>45327.0</v>
      </c>
      <c r="B793" s="6">
        <v>4605.0</v>
      </c>
      <c r="C793" s="6">
        <v>22648.2</v>
      </c>
    </row>
    <row r="794">
      <c r="A794" s="5">
        <v>45356.0</v>
      </c>
      <c r="B794" s="6">
        <v>4618.45</v>
      </c>
      <c r="C794" s="6">
        <v>22475.85</v>
      </c>
    </row>
    <row r="795">
      <c r="A795" s="5">
        <v>45448.0</v>
      </c>
      <c r="B795" s="6">
        <v>4589.85</v>
      </c>
      <c r="C795" s="6">
        <v>22442.7</v>
      </c>
    </row>
    <row r="796">
      <c r="A796" s="5">
        <v>45478.0</v>
      </c>
      <c r="B796" s="6">
        <v>4656.0</v>
      </c>
      <c r="C796" s="6">
        <v>22302.5</v>
      </c>
    </row>
    <row r="797">
      <c r="A797" s="5">
        <v>45509.0</v>
      </c>
      <c r="B797" s="6">
        <v>4801.0</v>
      </c>
      <c r="C797" s="6">
        <v>22302.5</v>
      </c>
    </row>
    <row r="798">
      <c r="A798" s="5">
        <v>45540.0</v>
      </c>
      <c r="B798" s="6">
        <v>4776.7</v>
      </c>
      <c r="C798" s="6">
        <v>21957.5</v>
      </c>
    </row>
    <row r="799">
      <c r="A799" s="5">
        <v>45570.0</v>
      </c>
      <c r="B799" s="6">
        <v>4794.95</v>
      </c>
      <c r="C799" s="6">
        <v>22055.2</v>
      </c>
    </row>
    <row r="800">
      <c r="A800" s="5" t="s">
        <v>532</v>
      </c>
      <c r="B800" s="6">
        <v>4683.15</v>
      </c>
      <c r="C800" s="6">
        <v>22104.05</v>
      </c>
    </row>
    <row r="801">
      <c r="A801" s="5" t="s">
        <v>533</v>
      </c>
      <c r="B801" s="6">
        <v>4615.0</v>
      </c>
      <c r="C801" s="6">
        <v>22217.85</v>
      </c>
    </row>
    <row r="802">
      <c r="A802" s="5" t="s">
        <v>534</v>
      </c>
      <c r="B802" s="6">
        <v>4655.0</v>
      </c>
      <c r="C802" s="6">
        <v>22200.55</v>
      </c>
    </row>
    <row r="803">
      <c r="A803" s="5" t="s">
        <v>535</v>
      </c>
      <c r="B803" s="6">
        <v>4675.0</v>
      </c>
      <c r="C803" s="6">
        <v>22403.85</v>
      </c>
    </row>
    <row r="804">
      <c r="A804" s="5" t="s">
        <v>536</v>
      </c>
      <c r="B804" s="6">
        <v>4700.0</v>
      </c>
      <c r="C804" s="6">
        <v>22466.1</v>
      </c>
    </row>
    <row r="805">
      <c r="A805" s="5" t="s">
        <v>537</v>
      </c>
      <c r="B805" s="6">
        <v>4674.65</v>
      </c>
      <c r="C805" s="6">
        <v>22502.0</v>
      </c>
    </row>
    <row r="806">
      <c r="A806" s="5" t="s">
        <v>538</v>
      </c>
      <c r="B806" s="6">
        <v>4696.0</v>
      </c>
      <c r="C806" s="6">
        <v>22529.05</v>
      </c>
    </row>
    <row r="807">
      <c r="A807" s="5" t="s">
        <v>539</v>
      </c>
      <c r="B807" s="6">
        <v>4777.9</v>
      </c>
      <c r="C807" s="6">
        <v>22597.8</v>
      </c>
    </row>
    <row r="808">
      <c r="A808" s="5" t="s">
        <v>540</v>
      </c>
      <c r="B808" s="6">
        <v>4790.5</v>
      </c>
      <c r="C808" s="6">
        <v>22967.65</v>
      </c>
    </row>
    <row r="809">
      <c r="A809" s="5" t="s">
        <v>541</v>
      </c>
      <c r="B809" s="6">
        <v>4675.7</v>
      </c>
      <c r="C809" s="6">
        <v>22957.1</v>
      </c>
    </row>
    <row r="810">
      <c r="A810" s="5" t="s">
        <v>542</v>
      </c>
      <c r="B810" s="6">
        <v>4542.0</v>
      </c>
      <c r="C810" s="6">
        <v>22932.45</v>
      </c>
    </row>
    <row r="811">
      <c r="A811" s="5" t="s">
        <v>543</v>
      </c>
      <c r="B811" s="6">
        <v>4465.0</v>
      </c>
      <c r="C811" s="6">
        <v>22888.15</v>
      </c>
    </row>
    <row r="812">
      <c r="A812" s="5" t="s">
        <v>544</v>
      </c>
      <c r="B812" s="6">
        <v>4470.0</v>
      </c>
      <c r="C812" s="6">
        <v>22704.7</v>
      </c>
    </row>
    <row r="813">
      <c r="A813" s="5" t="s">
        <v>545</v>
      </c>
      <c r="B813" s="6">
        <v>4440.8</v>
      </c>
      <c r="C813" s="6">
        <v>22488.65</v>
      </c>
    </row>
    <row r="814">
      <c r="A814" s="5" t="s">
        <v>546</v>
      </c>
      <c r="B814" s="6">
        <v>4287.35</v>
      </c>
      <c r="C814" s="6">
        <v>22530.7</v>
      </c>
    </row>
    <row r="815">
      <c r="A815" s="5">
        <v>45357.0</v>
      </c>
      <c r="B815" s="6">
        <v>4346.0</v>
      </c>
      <c r="C815" s="6">
        <v>23263.9</v>
      </c>
    </row>
    <row r="816">
      <c r="A816" s="5">
        <v>45388.0</v>
      </c>
      <c r="B816" s="6">
        <v>4525.0</v>
      </c>
      <c r="C816" s="6">
        <v>21884.5</v>
      </c>
    </row>
    <row r="817">
      <c r="A817" s="5">
        <v>45418.0</v>
      </c>
      <c r="B817" s="6">
        <v>4855.0</v>
      </c>
      <c r="C817" s="6">
        <v>22620.35</v>
      </c>
    </row>
    <row r="818">
      <c r="A818" s="5">
        <v>45449.0</v>
      </c>
      <c r="B818" s="6">
        <v>4700.0</v>
      </c>
      <c r="C818" s="6">
        <v>22821.4</v>
      </c>
    </row>
    <row r="819">
      <c r="A819" s="5">
        <v>45479.0</v>
      </c>
      <c r="B819" s="6">
        <v>4743.0</v>
      </c>
      <c r="C819" s="6">
        <v>23290.15</v>
      </c>
    </row>
    <row r="820">
      <c r="A820" s="5">
        <v>45571.0</v>
      </c>
      <c r="B820" s="6">
        <v>4770.0</v>
      </c>
      <c r="C820" s="6">
        <v>23259.2</v>
      </c>
    </row>
    <row r="821">
      <c r="A821" s="5">
        <v>45602.0</v>
      </c>
      <c r="B821" s="6">
        <v>4699.0</v>
      </c>
      <c r="C821" s="6">
        <v>23264.85</v>
      </c>
    </row>
    <row r="822">
      <c r="A822" s="5">
        <v>45632.0</v>
      </c>
      <c r="B822" s="6">
        <v>4658.0</v>
      </c>
      <c r="C822" s="6">
        <v>23322.95</v>
      </c>
    </row>
    <row r="823">
      <c r="A823" s="5" t="s">
        <v>547</v>
      </c>
      <c r="B823" s="6">
        <v>4655.0</v>
      </c>
      <c r="C823" s="6">
        <v>23398.9</v>
      </c>
    </row>
    <row r="824">
      <c r="A824" s="5" t="s">
        <v>548</v>
      </c>
      <c r="B824" s="6">
        <v>4728.0</v>
      </c>
      <c r="C824" s="6">
        <v>23465.6</v>
      </c>
    </row>
    <row r="825">
      <c r="A825" s="5" t="s">
        <v>549</v>
      </c>
      <c r="B825" s="6">
        <v>5035.0</v>
      </c>
      <c r="C825" s="6">
        <v>23557.9</v>
      </c>
    </row>
    <row r="826">
      <c r="A826" s="5" t="s">
        <v>550</v>
      </c>
      <c r="B826" s="6">
        <v>4914.0</v>
      </c>
      <c r="C826" s="6">
        <v>23516.0</v>
      </c>
    </row>
    <row r="827">
      <c r="A827" s="5" t="s">
        <v>551</v>
      </c>
      <c r="B827" s="6">
        <v>4866.9</v>
      </c>
      <c r="C827" s="6">
        <v>23567.0</v>
      </c>
    </row>
    <row r="828">
      <c r="A828" s="5" t="s">
        <v>552</v>
      </c>
      <c r="B828" s="6">
        <v>4790.0</v>
      </c>
      <c r="C828" s="6">
        <v>23501.1</v>
      </c>
    </row>
    <row r="829">
      <c r="A829" s="5" t="s">
        <v>553</v>
      </c>
      <c r="B829" s="6">
        <v>4833.0</v>
      </c>
      <c r="C829" s="6">
        <v>23537.85</v>
      </c>
    </row>
    <row r="830">
      <c r="A830" s="5" t="s">
        <v>554</v>
      </c>
      <c r="B830" s="6">
        <v>4787.0</v>
      </c>
      <c r="C830" s="6">
        <v>23721.3</v>
      </c>
    </row>
    <row r="831">
      <c r="A831" s="5" t="s">
        <v>555</v>
      </c>
      <c r="B831" s="6">
        <v>4812.0</v>
      </c>
      <c r="C831" s="6">
        <v>23868.8</v>
      </c>
    </row>
    <row r="832">
      <c r="A832" s="5" t="s">
        <v>556</v>
      </c>
      <c r="B832" s="6">
        <v>4940.0</v>
      </c>
      <c r="C832" s="6">
        <v>24044.5</v>
      </c>
    </row>
    <row r="833">
      <c r="A833" s="5" t="s">
        <v>557</v>
      </c>
      <c r="B833" s="6">
        <v>4713.05</v>
      </c>
      <c r="C833" s="6">
        <v>24010.6</v>
      </c>
    </row>
    <row r="834">
      <c r="A834" s="5">
        <v>45298.0</v>
      </c>
      <c r="B834" s="6">
        <v>4721.9</v>
      </c>
      <c r="C834" s="6">
        <v>24141.95</v>
      </c>
    </row>
    <row r="835">
      <c r="A835" s="5">
        <v>45329.0</v>
      </c>
      <c r="B835" s="6">
        <v>4782.0</v>
      </c>
      <c r="C835" s="6">
        <v>24123.85</v>
      </c>
    </row>
    <row r="836">
      <c r="A836" s="5">
        <v>45358.0</v>
      </c>
      <c r="B836" s="6">
        <v>4797.9</v>
      </c>
      <c r="C836" s="6">
        <v>24286.5</v>
      </c>
    </row>
    <row r="837">
      <c r="A837" s="5">
        <v>45389.0</v>
      </c>
      <c r="B837" s="6">
        <v>4768.0</v>
      </c>
      <c r="C837" s="6">
        <v>24302.15</v>
      </c>
    </row>
    <row r="838">
      <c r="A838" s="5">
        <v>45419.0</v>
      </c>
      <c r="B838" s="6">
        <v>4847.05</v>
      </c>
      <c r="C838" s="6">
        <v>24323.85</v>
      </c>
    </row>
    <row r="839">
      <c r="A839" s="5">
        <v>45511.0</v>
      </c>
      <c r="B839" s="6">
        <v>4836.0</v>
      </c>
      <c r="C839" s="6">
        <v>24320.55</v>
      </c>
    </row>
    <row r="840">
      <c r="A840" s="5">
        <v>45542.0</v>
      </c>
      <c r="B840" s="6">
        <v>4800.15</v>
      </c>
      <c r="C840" s="6">
        <v>24433.2</v>
      </c>
    </row>
    <row r="841">
      <c r="A841" s="5">
        <v>45572.0</v>
      </c>
      <c r="B841" s="6">
        <v>4817.95</v>
      </c>
      <c r="C841" s="6">
        <v>24324.45</v>
      </c>
    </row>
    <row r="842">
      <c r="A842" s="5">
        <v>45603.0</v>
      </c>
      <c r="B842" s="6">
        <v>4893.5</v>
      </c>
      <c r="C842" s="6">
        <v>24315.95</v>
      </c>
    </row>
    <row r="843">
      <c r="A843" s="5">
        <v>45633.0</v>
      </c>
      <c r="B843" s="6">
        <v>4950.0</v>
      </c>
      <c r="C843" s="6">
        <v>24502.15</v>
      </c>
    </row>
    <row r="844">
      <c r="A844" s="5" t="s">
        <v>558</v>
      </c>
      <c r="B844" s="6">
        <v>4990.0</v>
      </c>
      <c r="C844" s="6">
        <v>24586.7</v>
      </c>
    </row>
    <row r="845">
      <c r="A845" s="5" t="s">
        <v>559</v>
      </c>
      <c r="B845" s="6">
        <v>5039.9</v>
      </c>
      <c r="C845" s="6">
        <v>24613.0</v>
      </c>
    </row>
    <row r="846">
      <c r="A846" s="5" t="s">
        <v>560</v>
      </c>
      <c r="B846" s="6">
        <v>5080.0</v>
      </c>
      <c r="C846" s="6">
        <v>24800.85</v>
      </c>
    </row>
    <row r="847">
      <c r="A847" s="5" t="s">
        <v>561</v>
      </c>
      <c r="B847" s="6">
        <v>4999.35</v>
      </c>
      <c r="C847" s="6">
        <v>24530.9</v>
      </c>
    </row>
    <row r="848">
      <c r="A848" s="5" t="s">
        <v>562</v>
      </c>
      <c r="B848" s="6">
        <v>5010.5</v>
      </c>
      <c r="C848" s="6">
        <v>24509.25</v>
      </c>
    </row>
    <row r="849">
      <c r="A849" s="5" t="s">
        <v>563</v>
      </c>
      <c r="B849" s="6">
        <v>5065.0</v>
      </c>
      <c r="C849" s="6">
        <v>24479.05</v>
      </c>
    </row>
    <row r="850">
      <c r="A850" s="5" t="s">
        <v>564</v>
      </c>
      <c r="B850" s="6">
        <v>5141.1</v>
      </c>
      <c r="C850" s="6">
        <v>24413.5</v>
      </c>
    </row>
    <row r="851">
      <c r="A851" s="5" t="s">
        <v>565</v>
      </c>
      <c r="B851" s="6">
        <v>5160.0</v>
      </c>
      <c r="C851" s="6">
        <v>24406.1</v>
      </c>
    </row>
    <row r="852">
      <c r="A852" s="5" t="s">
        <v>566</v>
      </c>
      <c r="B852" s="6">
        <v>5075.65</v>
      </c>
      <c r="C852" s="6">
        <v>24834.85</v>
      </c>
    </row>
    <row r="853">
      <c r="A853" s="5" t="s">
        <v>567</v>
      </c>
      <c r="B853" s="6">
        <v>5095.45</v>
      </c>
      <c r="C853" s="6">
        <v>24836.1</v>
      </c>
    </row>
    <row r="854">
      <c r="A854" s="5" t="s">
        <v>568</v>
      </c>
      <c r="B854" s="6">
        <v>5014.0</v>
      </c>
      <c r="C854" s="6">
        <v>24857.3</v>
      </c>
    </row>
    <row r="855">
      <c r="A855" s="5" t="s">
        <v>569</v>
      </c>
      <c r="B855" s="6">
        <v>4953.9</v>
      </c>
      <c r="C855" s="6">
        <v>24951.15</v>
      </c>
    </row>
    <row r="856">
      <c r="A856" s="5">
        <v>45299.0</v>
      </c>
      <c r="B856" s="6">
        <v>4990.0</v>
      </c>
      <c r="C856" s="6">
        <v>25010.9</v>
      </c>
    </row>
    <row r="857">
      <c r="A857" s="5">
        <v>45330.0</v>
      </c>
      <c r="B857" s="6">
        <v>4905.0</v>
      </c>
      <c r="C857" s="6">
        <v>24717.7</v>
      </c>
    </row>
    <row r="858">
      <c r="A858" s="5">
        <v>45420.0</v>
      </c>
      <c r="B858" s="6">
        <v>4810.0</v>
      </c>
      <c r="C858" s="6">
        <v>24055.6</v>
      </c>
    </row>
    <row r="859">
      <c r="A859" s="5">
        <v>45451.0</v>
      </c>
      <c r="B859" s="6">
        <v>4900.0</v>
      </c>
      <c r="C859" s="6">
        <v>23992.55</v>
      </c>
    </row>
    <row r="860">
      <c r="A860" s="5">
        <v>45481.0</v>
      </c>
      <c r="B860" s="6">
        <v>5018.4</v>
      </c>
      <c r="C860" s="6">
        <v>24297.5</v>
      </c>
    </row>
    <row r="861">
      <c r="A861" s="5">
        <v>45512.0</v>
      </c>
      <c r="B861" s="6">
        <v>5000.0</v>
      </c>
      <c r="C861" s="6">
        <v>24117.0</v>
      </c>
    </row>
    <row r="862">
      <c r="A862" s="5">
        <v>45543.0</v>
      </c>
      <c r="B862" s="6">
        <v>4975.0</v>
      </c>
      <c r="C862" s="6">
        <v>24367.5</v>
      </c>
    </row>
    <row r="863">
      <c r="A863" s="5">
        <v>45634.0</v>
      </c>
      <c r="B863" s="6">
        <v>4995.9</v>
      </c>
      <c r="C863" s="6">
        <v>24347.0</v>
      </c>
    </row>
    <row r="864">
      <c r="A864" s="5" t="s">
        <v>570</v>
      </c>
      <c r="B864" s="6">
        <v>4913.7</v>
      </c>
      <c r="C864" s="6">
        <v>24139.0</v>
      </c>
    </row>
    <row r="865">
      <c r="A865" s="5" t="s">
        <v>571</v>
      </c>
      <c r="B865" s="6">
        <v>4961.95</v>
      </c>
      <c r="C865" s="6">
        <v>24143.75</v>
      </c>
    </row>
    <row r="866">
      <c r="A866" s="5" t="s">
        <v>572</v>
      </c>
      <c r="B866" s="6">
        <v>5013.25</v>
      </c>
      <c r="C866" s="6">
        <v>24541.15</v>
      </c>
    </row>
    <row r="867">
      <c r="A867" s="5" t="s">
        <v>573</v>
      </c>
      <c r="B867" s="6">
        <v>5000.1</v>
      </c>
      <c r="C867" s="6">
        <v>24572.65</v>
      </c>
    </row>
    <row r="868">
      <c r="A868" s="5" t="s">
        <v>574</v>
      </c>
      <c r="B868" s="6">
        <v>5075.0</v>
      </c>
      <c r="C868" s="6">
        <v>24698.85</v>
      </c>
    </row>
    <row r="869">
      <c r="A869" s="5" t="s">
        <v>575</v>
      </c>
      <c r="B869" s="6">
        <v>5100.0</v>
      </c>
      <c r="C869" s="6">
        <v>24770.2</v>
      </c>
    </row>
    <row r="870">
      <c r="A870" s="5" t="s">
        <v>576</v>
      </c>
      <c r="B870" s="6">
        <v>5036.0</v>
      </c>
      <c r="C870" s="6">
        <v>24811.5</v>
      </c>
    </row>
    <row r="871">
      <c r="A871" s="5" t="s">
        <v>577</v>
      </c>
      <c r="B871" s="6">
        <v>4926.95</v>
      </c>
      <c r="C871" s="6">
        <v>24823.15</v>
      </c>
    </row>
    <row r="872">
      <c r="A872" s="5" t="s">
        <v>578</v>
      </c>
      <c r="B872" s="6">
        <v>4968.9</v>
      </c>
      <c r="C872" s="6">
        <v>25010.6</v>
      </c>
    </row>
    <row r="873">
      <c r="A873" s="5" t="s">
        <v>579</v>
      </c>
      <c r="B873" s="6">
        <v>4955.0</v>
      </c>
      <c r="C873" s="6">
        <v>25017.75</v>
      </c>
    </row>
    <row r="874">
      <c r="A874" s="5" t="s">
        <v>580</v>
      </c>
      <c r="B874" s="6">
        <v>4967.0</v>
      </c>
      <c r="C874" s="6">
        <v>25052.35</v>
      </c>
    </row>
    <row r="875">
      <c r="A875" s="5" t="s">
        <v>581</v>
      </c>
      <c r="B875" s="6">
        <v>5011.95</v>
      </c>
      <c r="C875" s="6">
        <v>25151.95</v>
      </c>
    </row>
    <row r="876">
      <c r="A876" s="5" t="s">
        <v>582</v>
      </c>
      <c r="B876" s="6">
        <v>4930.0</v>
      </c>
      <c r="C876" s="6">
        <v>25235.9</v>
      </c>
    </row>
    <row r="877">
      <c r="A877" s="5">
        <v>45331.0</v>
      </c>
      <c r="B877" s="6">
        <v>5000.0</v>
      </c>
      <c r="C877" s="6">
        <v>25278.7</v>
      </c>
    </row>
    <row r="878">
      <c r="A878" s="5">
        <v>45360.0</v>
      </c>
      <c r="B878" s="6">
        <v>4981.0</v>
      </c>
      <c r="C878" s="6">
        <v>25279.85</v>
      </c>
    </row>
    <row r="879">
      <c r="A879" s="5">
        <v>45391.0</v>
      </c>
      <c r="B879" s="6">
        <v>5100.2</v>
      </c>
      <c r="C879" s="6">
        <v>25198.7</v>
      </c>
    </row>
    <row r="880">
      <c r="A880" s="5">
        <v>45421.0</v>
      </c>
      <c r="B880" s="6">
        <v>5270.05</v>
      </c>
      <c r="C880" s="6">
        <v>25145.1</v>
      </c>
    </row>
    <row r="881">
      <c r="A881" s="5">
        <v>45452.0</v>
      </c>
      <c r="B881" s="6">
        <v>5309.8</v>
      </c>
      <c r="C881" s="6">
        <v>24852.15</v>
      </c>
    </row>
    <row r="882">
      <c r="A882" s="5">
        <v>45544.0</v>
      </c>
      <c r="B882" s="6">
        <v>5360.0</v>
      </c>
      <c r="C882" s="6">
        <v>24936.4</v>
      </c>
    </row>
    <row r="883">
      <c r="A883" s="5">
        <v>45574.0</v>
      </c>
      <c r="B883" s="6">
        <v>5338.0</v>
      </c>
      <c r="C883" s="6">
        <v>25041.1</v>
      </c>
    </row>
    <row r="884">
      <c r="A884" s="5">
        <v>45605.0</v>
      </c>
      <c r="B884" s="6">
        <v>5295.0</v>
      </c>
      <c r="C884" s="6">
        <v>24918.45</v>
      </c>
    </row>
    <row r="885">
      <c r="A885" s="5">
        <v>45635.0</v>
      </c>
      <c r="B885" s="6">
        <v>5236.0</v>
      </c>
      <c r="C885" s="6">
        <v>25388.9</v>
      </c>
    </row>
    <row r="886">
      <c r="A886" s="5" t="s">
        <v>583</v>
      </c>
      <c r="B886" s="6">
        <v>5192.9</v>
      </c>
      <c r="C886" s="6">
        <v>25356.5</v>
      </c>
    </row>
    <row r="887">
      <c r="A887" s="5" t="s">
        <v>584</v>
      </c>
      <c r="B887" s="6">
        <v>5220.0</v>
      </c>
      <c r="C887" s="6">
        <v>25383.75</v>
      </c>
    </row>
    <row r="888">
      <c r="A888" s="5" t="s">
        <v>585</v>
      </c>
      <c r="B888" s="6">
        <v>5202.0</v>
      </c>
      <c r="C888" s="6">
        <v>25418.55</v>
      </c>
    </row>
    <row r="889">
      <c r="A889" s="5" t="s">
        <v>586</v>
      </c>
      <c r="B889" s="6">
        <v>5261.0</v>
      </c>
      <c r="C889" s="6">
        <v>25377.55</v>
      </c>
    </row>
    <row r="890">
      <c r="A890" s="5" t="s">
        <v>587</v>
      </c>
      <c r="B890" s="6">
        <v>5335.0</v>
      </c>
      <c r="C890" s="6">
        <v>25415.8</v>
      </c>
    </row>
    <row r="891">
      <c r="A891" s="5" t="s">
        <v>588</v>
      </c>
      <c r="B891" s="6">
        <v>5342.35</v>
      </c>
      <c r="C891" s="6">
        <v>25790.95</v>
      </c>
    </row>
    <row r="892">
      <c r="A892" s="5" t="s">
        <v>589</v>
      </c>
      <c r="B892" s="6">
        <v>5305.5</v>
      </c>
      <c r="C892" s="6">
        <v>25939.05</v>
      </c>
    </row>
    <row r="893">
      <c r="A893" s="5" t="s">
        <v>590</v>
      </c>
      <c r="B893" s="6">
        <v>5397.85</v>
      </c>
      <c r="C893" s="6">
        <v>25940.4</v>
      </c>
    </row>
    <row r="894">
      <c r="A894" s="5" t="s">
        <v>591</v>
      </c>
      <c r="B894" s="6">
        <v>5300.0</v>
      </c>
      <c r="C894" s="6">
        <v>26004.15</v>
      </c>
    </row>
    <row r="895">
      <c r="A895" s="5" t="s">
        <v>592</v>
      </c>
      <c r="B895" s="6">
        <v>5188.9</v>
      </c>
      <c r="C895" s="6">
        <v>26216.05</v>
      </c>
    </row>
    <row r="896">
      <c r="A896" s="5" t="s">
        <v>593</v>
      </c>
      <c r="B896" s="6">
        <v>5112.0</v>
      </c>
      <c r="C896" s="6">
        <v>26178.95</v>
      </c>
    </row>
    <row r="897">
      <c r="A897" s="5" t="s">
        <v>594</v>
      </c>
      <c r="B897" s="6">
        <v>5109.0</v>
      </c>
      <c r="C897" s="6">
        <v>25810.85</v>
      </c>
    </row>
    <row r="898">
      <c r="A898" s="5">
        <v>45301.0</v>
      </c>
      <c r="B898" s="6">
        <v>4959.0</v>
      </c>
      <c r="C898" s="6">
        <v>25796.9</v>
      </c>
    </row>
    <row r="899">
      <c r="A899" s="5">
        <v>45361.0</v>
      </c>
      <c r="B899" s="6">
        <v>4941.0</v>
      </c>
      <c r="C899" s="6">
        <v>25250.1</v>
      </c>
    </row>
    <row r="900">
      <c r="A900" s="5">
        <v>45392.0</v>
      </c>
      <c r="B900" s="6">
        <v>4725.0</v>
      </c>
      <c r="C900" s="6">
        <v>25014.6</v>
      </c>
    </row>
    <row r="901">
      <c r="A901" s="5">
        <v>45483.0</v>
      </c>
      <c r="B901" s="6">
        <v>4534.0</v>
      </c>
      <c r="C901" s="6">
        <v>24795.75</v>
      </c>
    </row>
    <row r="902">
      <c r="A902" s="5">
        <v>45514.0</v>
      </c>
      <c r="B902" s="6">
        <v>4482.95</v>
      </c>
      <c r="C902" s="6">
        <v>25013.15</v>
      </c>
    </row>
    <row r="903">
      <c r="A903" s="5">
        <v>45545.0</v>
      </c>
      <c r="B903" s="6">
        <v>4650.0</v>
      </c>
      <c r="C903" s="6">
        <v>24981.95</v>
      </c>
    </row>
    <row r="904">
      <c r="A904" s="5">
        <v>45575.0</v>
      </c>
      <c r="B904" s="6">
        <v>4612.0</v>
      </c>
      <c r="C904" s="6">
        <v>24998.45</v>
      </c>
    </row>
    <row r="905">
      <c r="A905" s="5">
        <v>45606.0</v>
      </c>
      <c r="B905" s="6">
        <v>4570.0</v>
      </c>
      <c r="C905" s="6">
        <v>24964.25</v>
      </c>
    </row>
    <row r="906">
      <c r="A906" s="5" t="s">
        <v>595</v>
      </c>
      <c r="B906" s="6">
        <v>4191.0</v>
      </c>
      <c r="C906" s="6">
        <v>25127.95</v>
      </c>
    </row>
    <row r="907">
      <c r="A907" s="5" t="s">
        <v>596</v>
      </c>
      <c r="B907" s="6">
        <v>4201.0</v>
      </c>
      <c r="C907" s="6">
        <v>25057.35</v>
      </c>
    </row>
    <row r="908">
      <c r="A908" s="5" t="s">
        <v>597</v>
      </c>
      <c r="B908" s="6">
        <v>4150.0</v>
      </c>
      <c r="C908" s="6">
        <v>24971.3</v>
      </c>
    </row>
    <row r="909">
      <c r="A909" s="5" t="s">
        <v>598</v>
      </c>
      <c r="B909" s="6">
        <v>4121.0</v>
      </c>
      <c r="C909" s="6">
        <v>24749.85</v>
      </c>
    </row>
    <row r="910">
      <c r="A910" s="5" t="s">
        <v>599</v>
      </c>
      <c r="B910" s="6">
        <v>3990.0</v>
      </c>
      <c r="C910" s="6">
        <v>24854.05</v>
      </c>
    </row>
    <row r="911">
      <c r="A911" s="5" t="s">
        <v>600</v>
      </c>
      <c r="B911" s="6">
        <v>3965.15</v>
      </c>
      <c r="C911" s="6">
        <v>24781.1</v>
      </c>
    </row>
    <row r="912">
      <c r="A912" s="5" t="s">
        <v>601</v>
      </c>
      <c r="B912" s="6">
        <v>4004.95</v>
      </c>
      <c r="C912" s="6">
        <v>24472.1</v>
      </c>
    </row>
    <row r="913">
      <c r="A913" s="5" t="s">
        <v>602</v>
      </c>
      <c r="B913" s="6">
        <v>4154.45</v>
      </c>
      <c r="C913" s="6">
        <v>24435.5</v>
      </c>
    </row>
    <row r="914">
      <c r="A914" s="5" t="s">
        <v>603</v>
      </c>
      <c r="B914" s="6">
        <v>4059.0</v>
      </c>
      <c r="C914" s="6">
        <v>24399.4</v>
      </c>
    </row>
    <row r="915">
      <c r="A915" s="5" t="s">
        <v>604</v>
      </c>
      <c r="B915" s="6">
        <v>4040.0</v>
      </c>
      <c r="C915" s="6">
        <v>24180.8</v>
      </c>
    </row>
    <row r="916">
      <c r="A916" s="5" t="s">
        <v>605</v>
      </c>
      <c r="B916" s="6">
        <v>3985.9</v>
      </c>
      <c r="C916" s="6">
        <v>24339.15</v>
      </c>
    </row>
    <row r="917">
      <c r="A917" s="5" t="s">
        <v>606</v>
      </c>
      <c r="B917" s="6">
        <v>3980.0</v>
      </c>
      <c r="C917" s="6">
        <v>24466.85</v>
      </c>
    </row>
    <row r="918">
      <c r="A918" s="5" t="s">
        <v>607</v>
      </c>
      <c r="B918" s="6">
        <v>3930.0</v>
      </c>
      <c r="C918" s="6">
        <v>24340.85</v>
      </c>
    </row>
    <row r="919">
      <c r="A919" s="5" t="s">
        <v>608</v>
      </c>
      <c r="B919" s="6">
        <v>3931.0</v>
      </c>
      <c r="C919" s="6">
        <v>24205.35</v>
      </c>
    </row>
    <row r="920">
      <c r="A920" s="5">
        <v>45302.0</v>
      </c>
      <c r="B920" s="6">
        <v>4006.0</v>
      </c>
      <c r="C920" s="6">
        <v>24304.35</v>
      </c>
    </row>
    <row r="921">
      <c r="A921" s="5">
        <v>45393.0</v>
      </c>
      <c r="B921" s="6">
        <v>3948.0</v>
      </c>
      <c r="C921" s="6">
        <v>23995.35</v>
      </c>
    </row>
    <row r="922">
      <c r="A922" s="5">
        <v>45423.0</v>
      </c>
      <c r="B922" s="6">
        <v>3930.8</v>
      </c>
      <c r="C922" s="6">
        <v>24213.3</v>
      </c>
    </row>
    <row r="923">
      <c r="A923" s="5">
        <v>45454.0</v>
      </c>
      <c r="B923" s="6">
        <v>3927.0</v>
      </c>
      <c r="C923" s="6">
        <v>24484.05</v>
      </c>
    </row>
    <row r="924">
      <c r="A924" s="5">
        <v>45484.0</v>
      </c>
      <c r="B924" s="6">
        <v>3872.35</v>
      </c>
      <c r="C924" s="6">
        <v>24199.35</v>
      </c>
    </row>
    <row r="925">
      <c r="A925" s="5">
        <v>45515.0</v>
      </c>
      <c r="B925" s="6">
        <v>3878.0</v>
      </c>
      <c r="C925" s="6">
        <v>24148.2</v>
      </c>
    </row>
    <row r="926">
      <c r="A926" s="5">
        <v>45607.0</v>
      </c>
      <c r="B926" s="6">
        <v>3875.0</v>
      </c>
      <c r="C926" s="6">
        <v>24141.3</v>
      </c>
    </row>
    <row r="927">
      <c r="A927" s="5">
        <v>45637.0</v>
      </c>
      <c r="B927" s="6">
        <v>3774.0</v>
      </c>
      <c r="C927" s="6">
        <v>23883.45</v>
      </c>
    </row>
    <row r="928">
      <c r="A928" s="5" t="s">
        <v>609</v>
      </c>
      <c r="B928" s="6">
        <v>3758.0</v>
      </c>
      <c r="C928" s="6">
        <v>23559.05</v>
      </c>
    </row>
    <row r="929">
      <c r="A929" s="5" t="s">
        <v>610</v>
      </c>
      <c r="B929" s="6">
        <v>3821.5</v>
      </c>
      <c r="C929" s="6">
        <v>23532.7</v>
      </c>
    </row>
    <row r="930">
      <c r="A930" s="5" t="s">
        <v>611</v>
      </c>
      <c r="B930" s="6">
        <v>3775.0</v>
      </c>
      <c r="C930" s="6">
        <v>23453.8</v>
      </c>
    </row>
    <row r="931">
      <c r="A931" s="5" t="s">
        <v>612</v>
      </c>
      <c r="B931" s="6">
        <v>3757.5</v>
      </c>
      <c r="C931" s="6">
        <v>23518.5</v>
      </c>
    </row>
    <row r="932">
      <c r="A932" s="5" t="s">
        <v>613</v>
      </c>
      <c r="B932" s="6">
        <v>3615.85</v>
      </c>
      <c r="C932" s="6">
        <v>23349.9</v>
      </c>
    </row>
    <row r="933">
      <c r="A933" s="5" t="s">
        <v>614</v>
      </c>
      <c r="B933" s="6">
        <v>3610.0</v>
      </c>
      <c r="C933" s="6">
        <v>23907.25</v>
      </c>
    </row>
    <row r="934">
      <c r="A934" s="5" t="s">
        <v>615</v>
      </c>
      <c r="B934" s="6">
        <v>3600.0</v>
      </c>
      <c r="C934" s="6">
        <v>24221.9</v>
      </c>
    </row>
    <row r="935">
      <c r="A935" s="5" t="s">
        <v>616</v>
      </c>
      <c r="B935" s="6">
        <v>3663.85</v>
      </c>
      <c r="C935" s="6">
        <v>24194.5</v>
      </c>
    </row>
    <row r="936">
      <c r="A936" s="5" t="s">
        <v>617</v>
      </c>
      <c r="B936" s="6">
        <v>3675.85</v>
      </c>
      <c r="C936" s="6">
        <v>24274.9</v>
      </c>
    </row>
    <row r="937">
      <c r="A937" s="5" t="s">
        <v>618</v>
      </c>
      <c r="B937" s="6">
        <v>3709.85</v>
      </c>
      <c r="C937" s="6">
        <v>23914.15</v>
      </c>
    </row>
    <row r="938">
      <c r="A938" s="5" t="s">
        <v>619</v>
      </c>
      <c r="B938" s="6">
        <v>3710.0</v>
      </c>
      <c r="C938" s="6">
        <v>24131.1</v>
      </c>
    </row>
    <row r="939">
      <c r="A939" s="5">
        <v>45334.0</v>
      </c>
      <c r="B939" s="6">
        <v>3687.0</v>
      </c>
      <c r="C939" s="6">
        <v>24276.05</v>
      </c>
    </row>
    <row r="940">
      <c r="A940" s="5">
        <v>45363.0</v>
      </c>
      <c r="B940" s="6">
        <v>3846.0</v>
      </c>
      <c r="C940" s="6">
        <v>24457.15</v>
      </c>
    </row>
    <row r="941">
      <c r="A941" s="5">
        <v>45394.0</v>
      </c>
      <c r="B941" s="6">
        <v>3845.05</v>
      </c>
      <c r="C941" s="6">
        <v>24467.45</v>
      </c>
    </row>
    <row r="942">
      <c r="A942" s="5">
        <v>45424.0</v>
      </c>
      <c r="B942" s="6">
        <v>3878.1</v>
      </c>
      <c r="C942" s="6">
        <v>24708.4</v>
      </c>
    </row>
    <row r="943">
      <c r="A943" s="5">
        <v>45455.0</v>
      </c>
      <c r="B943" s="6">
        <v>3806.0</v>
      </c>
      <c r="C943" s="6">
        <v>24677.8</v>
      </c>
    </row>
    <row r="944">
      <c r="A944" s="5">
        <v>45547.0</v>
      </c>
      <c r="B944" s="6">
        <v>3835.0</v>
      </c>
      <c r="C944" s="6">
        <v>24619.0</v>
      </c>
    </row>
    <row r="945">
      <c r="A945" s="5">
        <v>45577.0</v>
      </c>
      <c r="B945" s="6">
        <v>3813.65</v>
      </c>
      <c r="C945" s="6">
        <v>24610.05</v>
      </c>
    </row>
    <row r="946">
      <c r="A946" s="5">
        <v>45608.0</v>
      </c>
      <c r="B946" s="6">
        <v>3718.0</v>
      </c>
      <c r="C946" s="6">
        <v>24641.8</v>
      </c>
    </row>
    <row r="947">
      <c r="A947" s="5">
        <v>45638.0</v>
      </c>
      <c r="B947" s="6">
        <v>3690.0</v>
      </c>
      <c r="C947" s="6">
        <v>24548.7</v>
      </c>
    </row>
    <row r="948">
      <c r="A948" s="5" t="s">
        <v>620</v>
      </c>
      <c r="B948" s="6">
        <v>3653.0</v>
      </c>
      <c r="C948" s="6">
        <v>24768.3</v>
      </c>
    </row>
    <row r="949">
      <c r="A949" s="5" t="s">
        <v>621</v>
      </c>
      <c r="B949" s="6">
        <v>3621.95</v>
      </c>
      <c r="C949" s="6">
        <v>24668.25</v>
      </c>
    </row>
    <row r="950">
      <c r="A950" s="5" t="s">
        <v>622</v>
      </c>
      <c r="B950" s="6">
        <v>3532.95</v>
      </c>
      <c r="C950" s="6">
        <v>24336.0</v>
      </c>
    </row>
    <row r="951">
      <c r="A951" s="5" t="s">
        <v>623</v>
      </c>
      <c r="B951" s="6">
        <v>3514.9</v>
      </c>
      <c r="C951" s="6">
        <v>24198.85</v>
      </c>
    </row>
    <row r="952">
      <c r="A952" s="5" t="s">
        <v>624</v>
      </c>
      <c r="B952" s="6">
        <v>3499.85</v>
      </c>
      <c r="C952" s="6">
        <v>23951.7</v>
      </c>
    </row>
    <row r="953">
      <c r="A953" s="5" t="s">
        <v>625</v>
      </c>
      <c r="B953" s="6">
        <v>3406.5</v>
      </c>
      <c r="C953" s="6">
        <v>23587.5</v>
      </c>
    </row>
    <row r="954">
      <c r="A954" s="5" t="s">
        <v>626</v>
      </c>
      <c r="B954" s="6">
        <v>3474.0</v>
      </c>
      <c r="C954" s="6">
        <v>23753.45</v>
      </c>
    </row>
    <row r="955">
      <c r="A955" s="5" t="s">
        <v>627</v>
      </c>
      <c r="B955" s="6">
        <v>3455.0</v>
      </c>
      <c r="C955" s="6">
        <v>23727.65</v>
      </c>
    </row>
    <row r="956">
      <c r="A956" s="5" t="s">
        <v>628</v>
      </c>
      <c r="B956" s="6">
        <v>3492.1</v>
      </c>
      <c r="C956" s="6">
        <v>23750.2</v>
      </c>
    </row>
    <row r="957">
      <c r="A957" s="5" t="s">
        <v>629</v>
      </c>
      <c r="B957" s="6">
        <v>3569.9</v>
      </c>
      <c r="C957" s="6">
        <v>23813.4</v>
      </c>
    </row>
    <row r="958">
      <c r="A958" s="5" t="s">
        <v>630</v>
      </c>
      <c r="B958" s="6">
        <v>3544.95</v>
      </c>
      <c r="C958" s="6">
        <v>23644.9</v>
      </c>
    </row>
    <row r="959">
      <c r="A959" s="5" t="s">
        <v>631</v>
      </c>
      <c r="B959" s="6">
        <v>3559.55</v>
      </c>
      <c r="C959" s="6">
        <v>23644.8</v>
      </c>
    </row>
    <row r="960">
      <c r="A960" s="5">
        <v>45658.0</v>
      </c>
      <c r="B960" s="6">
        <v>3562.0</v>
      </c>
      <c r="C960" s="6">
        <v>23742.9</v>
      </c>
    </row>
    <row r="961">
      <c r="A961" s="5">
        <v>45689.0</v>
      </c>
      <c r="B961" s="6">
        <v>3615.3</v>
      </c>
      <c r="C961" s="6">
        <v>24188.65</v>
      </c>
    </row>
    <row r="962">
      <c r="A962" s="5">
        <v>45717.0</v>
      </c>
      <c r="B962" s="6">
        <v>4011.9</v>
      </c>
      <c r="C962" s="6">
        <v>24004.75</v>
      </c>
    </row>
    <row r="963">
      <c r="A963" s="5">
        <v>45809.0</v>
      </c>
      <c r="B963" s="6">
        <v>3929.0</v>
      </c>
      <c r="C963" s="6">
        <v>23616.05</v>
      </c>
    </row>
    <row r="964">
      <c r="A964" s="5">
        <v>45839.0</v>
      </c>
      <c r="B964" s="6">
        <v>3828.0</v>
      </c>
      <c r="C964" s="6">
        <v>23707.9</v>
      </c>
    </row>
    <row r="965">
      <c r="A965" s="5">
        <v>45870.0</v>
      </c>
      <c r="B965" s="6">
        <v>3842.0</v>
      </c>
      <c r="C965" s="6">
        <v>23688.95</v>
      </c>
    </row>
    <row r="966">
      <c r="A966" s="5">
        <v>45901.0</v>
      </c>
      <c r="B966" s="6">
        <v>3811.35</v>
      </c>
      <c r="C966" s="6">
        <v>23526.5</v>
      </c>
    </row>
    <row r="967">
      <c r="A967" s="5">
        <v>45931.0</v>
      </c>
      <c r="B967" s="6">
        <v>3702.35</v>
      </c>
      <c r="C967" s="6">
        <v>23431.5</v>
      </c>
    </row>
    <row r="968">
      <c r="A968" s="5" t="s">
        <v>632</v>
      </c>
      <c r="B968" s="6">
        <v>3500.0</v>
      </c>
      <c r="C968" s="6">
        <v>23085.95</v>
      </c>
    </row>
    <row r="969">
      <c r="A969" s="5" t="s">
        <v>633</v>
      </c>
      <c r="B969" s="6">
        <v>3488.0</v>
      </c>
      <c r="C969" s="6">
        <v>23176.05</v>
      </c>
    </row>
    <row r="970">
      <c r="A970" s="5" t="s">
        <v>634</v>
      </c>
      <c r="B970" s="6">
        <v>3570.0</v>
      </c>
      <c r="C970" s="6">
        <v>23213.2</v>
      </c>
    </row>
    <row r="971">
      <c r="A971" s="5" t="s">
        <v>635</v>
      </c>
      <c r="B971" s="6">
        <v>3604.0</v>
      </c>
      <c r="C971" s="6">
        <v>23311.8</v>
      </c>
    </row>
    <row r="972">
      <c r="A972" s="5" t="s">
        <v>636</v>
      </c>
      <c r="B972" s="6">
        <v>3615.0</v>
      </c>
      <c r="C972" s="6">
        <v>23203.2</v>
      </c>
    </row>
    <row r="973">
      <c r="A973" s="5" t="s">
        <v>637</v>
      </c>
      <c r="B973" s="6">
        <v>3609.0</v>
      </c>
      <c r="C973" s="6">
        <v>23344.75</v>
      </c>
    </row>
    <row r="974">
      <c r="A974" s="5" t="s">
        <v>638</v>
      </c>
      <c r="B974" s="6">
        <v>3592.0</v>
      </c>
      <c r="C974" s="6">
        <v>23024.65</v>
      </c>
    </row>
    <row r="975">
      <c r="A975" s="5" t="s">
        <v>639</v>
      </c>
      <c r="B975" s="6">
        <v>3560.0</v>
      </c>
      <c r="C975" s="6">
        <v>23155.35</v>
      </c>
    </row>
    <row r="976">
      <c r="A976" s="5" t="s">
        <v>640</v>
      </c>
      <c r="B976" s="6">
        <v>3600.0</v>
      </c>
      <c r="C976" s="6">
        <v>23205.35</v>
      </c>
    </row>
    <row r="977">
      <c r="A977" s="5" t="s">
        <v>641</v>
      </c>
      <c r="B977" s="6">
        <v>3581.35</v>
      </c>
      <c r="C977" s="6">
        <v>23092.2</v>
      </c>
    </row>
    <row r="978">
      <c r="A978" s="5" t="s">
        <v>642</v>
      </c>
      <c r="B978" s="6">
        <v>3535.3</v>
      </c>
      <c r="C978" s="6">
        <v>22829.15</v>
      </c>
    </row>
    <row r="979">
      <c r="A979" s="5" t="s">
        <v>643</v>
      </c>
      <c r="B979" s="6">
        <v>3595.0</v>
      </c>
      <c r="C979" s="6">
        <v>22957.25</v>
      </c>
    </row>
    <row r="980">
      <c r="A980" s="5" t="s">
        <v>644</v>
      </c>
      <c r="B980" s="6">
        <v>3569.0</v>
      </c>
      <c r="C980" s="6">
        <v>23163.1</v>
      </c>
    </row>
    <row r="981">
      <c r="A981" s="5" t="s">
        <v>645</v>
      </c>
      <c r="B981" s="6">
        <v>3580.0</v>
      </c>
      <c r="C981" s="6">
        <v>23249.5</v>
      </c>
    </row>
    <row r="982">
      <c r="A982" s="5" t="s">
        <v>646</v>
      </c>
      <c r="B982" s="6">
        <v>3660.0</v>
      </c>
      <c r="C982" s="6">
        <v>23508.4</v>
      </c>
    </row>
    <row r="983">
      <c r="A983" s="5">
        <v>45659.0</v>
      </c>
      <c r="B983" s="6">
        <v>3984.65</v>
      </c>
      <c r="C983" s="6">
        <v>23482.15</v>
      </c>
    </row>
    <row r="984">
      <c r="A984" s="5">
        <v>45718.0</v>
      </c>
      <c r="B984" s="6">
        <v>3939.05</v>
      </c>
      <c r="C984" s="6">
        <v>23361.05</v>
      </c>
    </row>
    <row r="985">
      <c r="A985" s="5">
        <v>45749.0</v>
      </c>
      <c r="B985" s="6">
        <v>3912.3</v>
      </c>
      <c r="C985" s="6">
        <v>23739.25</v>
      </c>
    </row>
    <row r="986">
      <c r="A986" s="5">
        <v>45779.0</v>
      </c>
      <c r="B986" s="6">
        <v>3850.0</v>
      </c>
      <c r="C986" s="6">
        <v>23696.3</v>
      </c>
    </row>
    <row r="987">
      <c r="A987" s="5">
        <v>45810.0</v>
      </c>
      <c r="B987" s="6">
        <v>3750.0</v>
      </c>
      <c r="C987" s="6">
        <v>23603.35</v>
      </c>
    </row>
    <row r="988">
      <c r="A988" s="5">
        <v>45840.0</v>
      </c>
      <c r="B988" s="6">
        <v>3748.3</v>
      </c>
      <c r="C988" s="6">
        <v>23559.95</v>
      </c>
    </row>
    <row r="989">
      <c r="A989" s="5">
        <v>45932.0</v>
      </c>
      <c r="B989" s="6">
        <v>3708.1</v>
      </c>
      <c r="C989" s="6">
        <v>23381.6</v>
      </c>
    </row>
    <row r="990">
      <c r="A990" s="5">
        <v>45963.0</v>
      </c>
      <c r="B990" s="6">
        <v>3673.0</v>
      </c>
      <c r="C990" s="6">
        <v>23071.8</v>
      </c>
    </row>
    <row r="991">
      <c r="A991" s="5">
        <v>45993.0</v>
      </c>
      <c r="B991" s="6">
        <v>3699.9</v>
      </c>
      <c r="C991" s="6">
        <v>23045.25</v>
      </c>
    </row>
    <row r="992">
      <c r="A992" s="5" t="s">
        <v>647</v>
      </c>
      <c r="B992" s="6">
        <v>3687.5</v>
      </c>
      <c r="C992" s="6">
        <v>23031.4</v>
      </c>
    </row>
    <row r="993">
      <c r="A993" s="5" t="s">
        <v>648</v>
      </c>
      <c r="B993" s="6">
        <v>3669.95</v>
      </c>
      <c r="C993" s="6">
        <v>22929.25</v>
      </c>
    </row>
    <row r="994">
      <c r="A994" s="5" t="s">
        <v>649</v>
      </c>
      <c r="B994" s="6">
        <v>3634.6</v>
      </c>
      <c r="C994" s="6">
        <v>22959.5</v>
      </c>
    </row>
    <row r="995">
      <c r="A995" s="5" t="s">
        <v>650</v>
      </c>
      <c r="B995" s="6">
        <v>3670.0</v>
      </c>
      <c r="C995" s="6">
        <v>22945.3</v>
      </c>
    </row>
    <row r="996">
      <c r="A996" s="5" t="s">
        <v>651</v>
      </c>
      <c r="B996" s="6">
        <v>3694.35</v>
      </c>
      <c r="C996" s="6">
        <v>22932.9</v>
      </c>
    </row>
    <row r="997">
      <c r="A997" s="5" t="s">
        <v>652</v>
      </c>
      <c r="B997" s="6">
        <v>3629.55</v>
      </c>
      <c r="C997" s="6">
        <v>22913.15</v>
      </c>
    </row>
    <row r="998">
      <c r="A998" s="5" t="s">
        <v>653</v>
      </c>
      <c r="B998" s="6">
        <v>3602.75</v>
      </c>
      <c r="C998" s="6">
        <v>22795.9</v>
      </c>
    </row>
    <row r="999">
      <c r="A999" s="5" t="s">
        <v>654</v>
      </c>
      <c r="B999" s="6">
        <v>3562.0</v>
      </c>
      <c r="C999" s="6">
        <v>22553.35</v>
      </c>
    </row>
    <row r="1000">
      <c r="A1000" s="5" t="s">
        <v>655</v>
      </c>
      <c r="B1000" s="6">
        <v>3533.75</v>
      </c>
      <c r="C1000" s="6">
        <v>22547.55</v>
      </c>
    </row>
    <row r="1001">
      <c r="A1001" s="5" t="s">
        <v>656</v>
      </c>
      <c r="B1001" s="6">
        <v>3515.0</v>
      </c>
      <c r="C1001" s="6">
        <v>22545.05</v>
      </c>
    </row>
    <row r="1002">
      <c r="A1002" s="5" t="s">
        <v>657</v>
      </c>
      <c r="B1002" s="6">
        <v>3409.0</v>
      </c>
      <c r="C1002" s="6">
        <v>22124.7</v>
      </c>
    </row>
    <row r="1003">
      <c r="A1003" s="5">
        <v>45719.0</v>
      </c>
      <c r="B1003" s="6">
        <v>3465.0</v>
      </c>
      <c r="C1003" s="6">
        <v>22119.3</v>
      </c>
    </row>
    <row r="1004">
      <c r="A1004" s="5">
        <v>45750.0</v>
      </c>
      <c r="B1004" s="6">
        <v>3410.0</v>
      </c>
      <c r="C1004" s="6">
        <v>22082.65</v>
      </c>
    </row>
    <row r="1005">
      <c r="A1005" s="5">
        <v>45780.0</v>
      </c>
      <c r="B1005" s="6">
        <v>3482.9</v>
      </c>
      <c r="C1005" s="6">
        <v>22337.3</v>
      </c>
    </row>
    <row r="1006">
      <c r="A1006" s="5">
        <v>45811.0</v>
      </c>
      <c r="B1006" s="6">
        <v>3550.0</v>
      </c>
      <c r="C1006" s="6">
        <v>22544.7</v>
      </c>
    </row>
    <row r="1007">
      <c r="A1007" s="5">
        <v>45841.0</v>
      </c>
      <c r="B1007" s="6">
        <v>3585.0</v>
      </c>
      <c r="C1007" s="6">
        <v>22552.5</v>
      </c>
    </row>
    <row r="1008">
      <c r="A1008" s="5">
        <v>45933.0</v>
      </c>
      <c r="B1008" s="6">
        <v>3601.0</v>
      </c>
      <c r="C1008" s="6">
        <v>22460.3</v>
      </c>
    </row>
    <row r="1009">
      <c r="A1009" s="5">
        <v>45964.0</v>
      </c>
      <c r="B1009" s="6">
        <v>3639.9</v>
      </c>
      <c r="C1009" s="6">
        <v>22497.9</v>
      </c>
    </row>
    <row r="1010">
      <c r="A1010" s="5">
        <v>45994.0</v>
      </c>
      <c r="B1010" s="6">
        <v>3664.85</v>
      </c>
      <c r="C1010" s="6">
        <v>22470.5</v>
      </c>
    </row>
    <row r="1011">
      <c r="A1011" s="5" t="s">
        <v>658</v>
      </c>
      <c r="B1011" s="6">
        <v>3794.1</v>
      </c>
      <c r="C1011" s="6">
        <v>22397.2</v>
      </c>
    </row>
    <row r="1012">
      <c r="A1012" s="5" t="s">
        <v>659</v>
      </c>
      <c r="B1012" s="6">
        <v>3824.0</v>
      </c>
      <c r="C1012" s="6">
        <v>22508.75</v>
      </c>
    </row>
    <row r="1013">
      <c r="A1013" s="5" t="s">
        <v>660</v>
      </c>
      <c r="B1013" s="6">
        <v>3829.0</v>
      </c>
      <c r="C1013" s="6">
        <v>22834.3</v>
      </c>
    </row>
    <row r="1014">
      <c r="A1014" s="5" t="s">
        <v>661</v>
      </c>
      <c r="B1014" s="6">
        <v>3842.0</v>
      </c>
      <c r="C1014" s="6">
        <v>22907.6</v>
      </c>
    </row>
    <row r="1015">
      <c r="A1015" s="5" t="s">
        <v>662</v>
      </c>
      <c r="B1015" s="6">
        <v>3874.15</v>
      </c>
      <c r="C1015" s="6">
        <v>23190.65</v>
      </c>
    </row>
    <row r="1016">
      <c r="A1016" s="5" t="s">
        <v>663</v>
      </c>
      <c r="B1016" s="6">
        <v>3910.0</v>
      </c>
      <c r="C1016" s="6">
        <v>23350.4</v>
      </c>
    </row>
    <row r="1017">
      <c r="A1017" s="5" t="s">
        <v>664</v>
      </c>
      <c r="B1017" s="6">
        <v>3905.3</v>
      </c>
      <c r="C1017" s="6">
        <v>23658.35</v>
      </c>
    </row>
    <row r="1018">
      <c r="A1018" s="5" t="s">
        <v>665</v>
      </c>
      <c r="B1018" s="6">
        <v>3988.0</v>
      </c>
      <c r="C1018" s="6">
        <v>23668.65</v>
      </c>
    </row>
    <row r="1019">
      <c r="A1019" s="5" t="s">
        <v>666</v>
      </c>
      <c r="B1019" s="6">
        <v>3936.0</v>
      </c>
      <c r="C1019" s="6">
        <v>23486.85</v>
      </c>
    </row>
    <row r="1020">
      <c r="A1020" s="5" t="s">
        <v>667</v>
      </c>
      <c r="B1020" s="6">
        <v>4070.0</v>
      </c>
      <c r="C1020" s="6">
        <v>23591.95</v>
      </c>
    </row>
    <row r="1021">
      <c r="A1021" s="5" t="s">
        <v>668</v>
      </c>
      <c r="B1021" s="6">
        <v>4071.0</v>
      </c>
      <c r="C1021" s="6">
        <v>23519.35</v>
      </c>
    </row>
    <row r="1022">
      <c r="A1022" s="5">
        <v>45661.0</v>
      </c>
      <c r="B1022" s="6">
        <v>4016.0</v>
      </c>
      <c r="C1022" s="6">
        <v>23165.7</v>
      </c>
    </row>
    <row r="1023">
      <c r="A1023" s="5">
        <v>45692.0</v>
      </c>
      <c r="B1023" s="6">
        <v>4104.0</v>
      </c>
      <c r="C1023" s="6">
        <v>23332.35</v>
      </c>
    </row>
    <row r="1024">
      <c r="A1024" s="5">
        <v>45720.0</v>
      </c>
      <c r="B1024" s="6">
        <v>4155.0</v>
      </c>
      <c r="C1024" s="6">
        <v>23250.1</v>
      </c>
    </row>
    <row r="1025">
      <c r="A1025" s="5">
        <v>45751.0</v>
      </c>
      <c r="B1025" s="6">
        <v>4039.95</v>
      </c>
      <c r="C1025" s="6">
        <v>22904.45</v>
      </c>
    </row>
    <row r="1026">
      <c r="A1026" s="5">
        <v>45842.0</v>
      </c>
      <c r="B1026" s="6">
        <v>4033.0</v>
      </c>
      <c r="C1026" s="6">
        <v>22161.6</v>
      </c>
    </row>
    <row r="1027">
      <c r="A1027" s="5">
        <v>45873.0</v>
      </c>
      <c r="B1027" s="6">
        <v>4055.0</v>
      </c>
      <c r="C1027" s="6">
        <v>22535.85</v>
      </c>
    </row>
    <row r="1028">
      <c r="A1028" s="5">
        <v>45904.0</v>
      </c>
      <c r="B1028" s="6">
        <v>4133.0</v>
      </c>
      <c r="C1028" s="6">
        <v>22399.15</v>
      </c>
    </row>
    <row r="1029">
      <c r="A1029" s="5">
        <v>45965.0</v>
      </c>
      <c r="B1029" s="6">
        <v>4125.0</v>
      </c>
      <c r="C1029" s="6">
        <v>22828.55</v>
      </c>
    </row>
    <row r="1030">
      <c r="A1030" s="5" t="s">
        <v>669</v>
      </c>
      <c r="B1030" s="6">
        <v>4216.0</v>
      </c>
      <c r="C1030" s="6">
        <v>23328.55</v>
      </c>
    </row>
    <row r="1031">
      <c r="A1031" s="5" t="s">
        <v>670</v>
      </c>
      <c r="B1031" s="6">
        <v>4224.9</v>
      </c>
      <c r="C1031" s="6">
        <v>23437.2</v>
      </c>
    </row>
    <row r="1032">
      <c r="A1032" s="5" t="s">
        <v>671</v>
      </c>
      <c r="B1032" s="6">
        <v>4354.0</v>
      </c>
      <c r="C1032" s="6">
        <v>23851.65</v>
      </c>
    </row>
    <row r="1033">
      <c r="A1033" s="5" t="s">
        <v>672</v>
      </c>
      <c r="B1033" s="6">
        <v>4324.5</v>
      </c>
      <c r="C1033" s="6">
        <v>24125.55</v>
      </c>
    </row>
    <row r="1034">
      <c r="A1034" s="5" t="s">
        <v>673</v>
      </c>
      <c r="B1034" s="6">
        <v>4436.0</v>
      </c>
      <c r="C1034" s="6">
        <v>24167.25</v>
      </c>
    </row>
    <row r="1035">
      <c r="A1035" s="5" t="s">
        <v>674</v>
      </c>
      <c r="B1035" s="6">
        <v>4506.3</v>
      </c>
      <c r="C1035" s="6">
        <v>24328.95</v>
      </c>
    </row>
    <row r="1036">
      <c r="A1036" s="5" t="s">
        <v>675</v>
      </c>
      <c r="B1036" s="6">
        <v>4505.0</v>
      </c>
      <c r="C1036" s="6">
        <v>24246.7</v>
      </c>
    </row>
    <row r="1037">
      <c r="A1037" s="5" t="s">
        <v>676</v>
      </c>
      <c r="B1037" s="6">
        <v>4374.0</v>
      </c>
      <c r="C1037" s="6">
        <v>24039.35</v>
      </c>
    </row>
    <row r="1038">
      <c r="A1038" s="5" t="s">
        <v>677</v>
      </c>
      <c r="B1038" s="6">
        <v>4360.0</v>
      </c>
      <c r="C1038" s="6">
        <v>24328.5</v>
      </c>
    </row>
    <row r="1039">
      <c r="A1039" s="5" t="s">
        <v>678</v>
      </c>
      <c r="B1039" s="6">
        <v>4305.1</v>
      </c>
      <c r="C1039" s="6">
        <v>24335.95</v>
      </c>
    </row>
    <row r="1040">
      <c r="A1040" s="5" t="s">
        <v>679</v>
      </c>
      <c r="B1040" s="6">
        <v>4175.0</v>
      </c>
      <c r="C1040" s="6">
        <v>24334.2</v>
      </c>
    </row>
    <row r="1041">
      <c r="A1041" s="5">
        <v>45693.0</v>
      </c>
      <c r="B1041" s="6">
        <v>4055.0</v>
      </c>
      <c r="C1041" s="6">
        <v>24346.7</v>
      </c>
    </row>
    <row r="1042">
      <c r="A1042" s="5">
        <v>45782.0</v>
      </c>
      <c r="B1042" s="6">
        <v>4017.0</v>
      </c>
      <c r="C1042" s="6">
        <v>24461.15</v>
      </c>
    </row>
    <row r="1043">
      <c r="A1043" s="5">
        <v>45813.0</v>
      </c>
      <c r="B1043" s="6">
        <v>4002.0</v>
      </c>
      <c r="C1043" s="6">
        <v>24379.6</v>
      </c>
    </row>
    <row r="1044">
      <c r="A1044" s="5">
        <v>45843.0</v>
      </c>
      <c r="B1044" s="6">
        <v>3995.0</v>
      </c>
      <c r="C1044" s="6">
        <v>24414.4</v>
      </c>
    </row>
    <row r="1045">
      <c r="A1045" s="5">
        <v>45874.0</v>
      </c>
      <c r="B1045" s="6">
        <v>3966.5</v>
      </c>
      <c r="C1045" s="6">
        <v>24273.8</v>
      </c>
    </row>
    <row r="1046">
      <c r="A1046" s="5">
        <v>45905.0</v>
      </c>
      <c r="B1046" s="6">
        <v>3976.1</v>
      </c>
      <c r="C1046" s="6">
        <v>24008.0</v>
      </c>
    </row>
    <row r="1047">
      <c r="A1047" s="5">
        <v>45996.0</v>
      </c>
      <c r="B1047" s="6">
        <v>4032.0</v>
      </c>
      <c r="C1047" s="6">
        <v>24924.7</v>
      </c>
    </row>
    <row r="1048">
      <c r="A1048" s="5" t="s">
        <v>680</v>
      </c>
      <c r="B1048" s="6">
        <v>4055.0</v>
      </c>
      <c r="C1048" s="6">
        <v>24578.35</v>
      </c>
    </row>
    <row r="1049">
      <c r="A1049" s="5" t="s">
        <v>681</v>
      </c>
      <c r="B1049" s="6">
        <v>4050.5</v>
      </c>
      <c r="C1049" s="6">
        <v>24666.9</v>
      </c>
    </row>
    <row r="1050">
      <c r="A1050" s="5" t="s">
        <v>682</v>
      </c>
      <c r="B1050" s="6">
        <v>4067.0</v>
      </c>
      <c r="C1050" s="6">
        <v>25062.1</v>
      </c>
    </row>
    <row r="1051">
      <c r="A1051" s="5" t="s">
        <v>683</v>
      </c>
      <c r="B1051" s="6">
        <v>4182.1</v>
      </c>
      <c r="C1051" s="6">
        <v>25019.8</v>
      </c>
    </row>
    <row r="1052">
      <c r="A1052" s="5" t="s">
        <v>684</v>
      </c>
      <c r="B1052" s="6">
        <v>4205.0</v>
      </c>
      <c r="C1052" s="6">
        <v>24945.45</v>
      </c>
    </row>
    <row r="1053">
      <c r="A1053" s="5" t="s">
        <v>685</v>
      </c>
      <c r="B1053" s="6">
        <v>4083.0</v>
      </c>
      <c r="C1053" s="6">
        <v>24683.9</v>
      </c>
    </row>
    <row r="1054">
      <c r="A1054" s="5" t="s">
        <v>686</v>
      </c>
      <c r="B1054" s="6">
        <v>4105.0</v>
      </c>
      <c r="C1054" s="6">
        <v>24813.45</v>
      </c>
    </row>
    <row r="1055">
      <c r="A1055" s="5" t="s">
        <v>687</v>
      </c>
      <c r="B1055" s="6">
        <v>4083.6</v>
      </c>
      <c r="C1055" s="6">
        <v>24609.7</v>
      </c>
    </row>
    <row r="1056">
      <c r="A1056" s="5" t="s">
        <v>688</v>
      </c>
      <c r="B1056" s="6">
        <v>4132.4</v>
      </c>
      <c r="C1056" s="6">
        <v>24853.15</v>
      </c>
    </row>
    <row r="1057">
      <c r="A1057" s="5" t="s">
        <v>689</v>
      </c>
      <c r="B1057" s="6">
        <v>4135.7</v>
      </c>
      <c r="C1057" s="6">
        <v>25001.15</v>
      </c>
    </row>
    <row r="1058">
      <c r="A1058" s="5" t="s">
        <v>690</v>
      </c>
      <c r="B1058" s="6">
        <v>4091.0</v>
      </c>
      <c r="C1058" s="6">
        <v>24826.2</v>
      </c>
    </row>
    <row r="1059">
      <c r="A1059" s="5" t="s">
        <v>691</v>
      </c>
      <c r="B1059" s="6">
        <v>4042.0</v>
      </c>
      <c r="C1059" s="6">
        <v>24752.45</v>
      </c>
    </row>
    <row r="1060">
      <c r="A1060" s="5" t="s">
        <v>692</v>
      </c>
      <c r="B1060" s="6">
        <v>4040.0</v>
      </c>
      <c r="C1060" s="6">
        <v>24833.6</v>
      </c>
    </row>
    <row r="1061">
      <c r="A1061" s="5" t="s">
        <v>693</v>
      </c>
      <c r="B1061" s="6">
        <v>4007.0</v>
      </c>
      <c r="C1061" s="6">
        <v>24750.7</v>
      </c>
    </row>
    <row r="1062">
      <c r="A1062" s="5">
        <v>45694.0</v>
      </c>
      <c r="B1062" s="6">
        <v>4017.1</v>
      </c>
      <c r="C1062" s="6">
        <v>24716.6</v>
      </c>
    </row>
    <row r="1063">
      <c r="A1063" s="5">
        <v>45722.0</v>
      </c>
      <c r="B1063" s="6">
        <v>4055.9</v>
      </c>
      <c r="C1063" s="6">
        <v>24542.5</v>
      </c>
    </row>
    <row r="1064">
      <c r="A1064" s="5">
        <v>45753.0</v>
      </c>
      <c r="B1064" s="6">
        <v>4085.0</v>
      </c>
      <c r="C1064" s="6">
        <v>24620.2</v>
      </c>
    </row>
    <row r="1065">
      <c r="A1065" s="5">
        <v>45783.0</v>
      </c>
      <c r="B1065" s="6">
        <v>4155.0</v>
      </c>
      <c r="C1065" s="6">
        <v>24750.9</v>
      </c>
    </row>
    <row r="1066">
      <c r="A1066" s="5">
        <v>45814.0</v>
      </c>
      <c r="B1066" s="6">
        <v>4205.0</v>
      </c>
      <c r="C1066" s="6">
        <v>25003.05</v>
      </c>
    </row>
    <row r="1067">
      <c r="A1067" s="5">
        <v>45906.0</v>
      </c>
      <c r="B1067" s="6">
        <v>4180.1</v>
      </c>
      <c r="C1067" s="6">
        <v>25103.2</v>
      </c>
    </row>
    <row r="1068">
      <c r="A1068" s="5">
        <v>45936.0</v>
      </c>
      <c r="B1068" s="6">
        <v>4079.9</v>
      </c>
      <c r="C1068" s="6">
        <v>25104.25</v>
      </c>
    </row>
    <row r="1069">
      <c r="A1069" s="5">
        <v>45967.0</v>
      </c>
      <c r="B1069" s="6">
        <v>4080.0</v>
      </c>
      <c r="C1069" s="6">
        <v>25141.4</v>
      </c>
    </row>
    <row r="1070">
      <c r="A1070" s="5">
        <v>45997.0</v>
      </c>
      <c r="B1070" s="6">
        <v>4050.1</v>
      </c>
      <c r="C1070" s="6">
        <v>24888.2</v>
      </c>
    </row>
    <row r="1071">
      <c r="A1071" s="5" t="s">
        <v>694</v>
      </c>
      <c r="B1071" s="6">
        <v>4045.0</v>
      </c>
      <c r="C1071" s="6">
        <v>24718.6</v>
      </c>
    </row>
    <row r="1072">
      <c r="A1072" s="5" t="s">
        <v>695</v>
      </c>
      <c r="B1072" s="6">
        <v>4085.4</v>
      </c>
      <c r="C1072" s="6">
        <v>24946.5</v>
      </c>
    </row>
    <row r="1073">
      <c r="A1073" s="5" t="s">
        <v>696</v>
      </c>
      <c r="B1073" s="6">
        <v>4065.8</v>
      </c>
      <c r="C1073" s="6">
        <v>24853.4</v>
      </c>
    </row>
    <row r="1074">
      <c r="A1074" s="5" t="s">
        <v>697</v>
      </c>
      <c r="B1074" s="6">
        <v>4229.0</v>
      </c>
      <c r="C1074" s="6">
        <v>24812.05</v>
      </c>
    </row>
    <row r="1075">
      <c r="A1075" s="5" t="s">
        <v>698</v>
      </c>
      <c r="B1075" s="6">
        <v>4185.1</v>
      </c>
      <c r="C1075" s="6">
        <v>24793.25</v>
      </c>
    </row>
    <row r="1076">
      <c r="A1076" s="5" t="s">
        <v>699</v>
      </c>
      <c r="B1076" s="6">
        <v>4283.1</v>
      </c>
      <c r="C1076" s="6">
        <v>25112.4</v>
      </c>
    </row>
    <row r="1077">
      <c r="A1077" s="5" t="s">
        <v>700</v>
      </c>
      <c r="B1077" s="6">
        <v>4327.0</v>
      </c>
      <c r="C1077" s="6">
        <v>24971.9</v>
      </c>
    </row>
    <row r="1078">
      <c r="A1078" s="5" t="s">
        <v>701</v>
      </c>
      <c r="B1078" s="6">
        <v>4260.0</v>
      </c>
      <c r="C1078" s="6">
        <v>25044.35</v>
      </c>
    </row>
    <row r="1079">
      <c r="A1079" s="5" t="s">
        <v>702</v>
      </c>
      <c r="B1079" s="6">
        <v>4275.0</v>
      </c>
      <c r="C1079" s="6">
        <v>25244.75</v>
      </c>
    </row>
    <row r="1080">
      <c r="A1080" s="5" t="s">
        <v>703</v>
      </c>
      <c r="B1080" s="6">
        <v>4316.9</v>
      </c>
      <c r="C1080" s="6">
        <v>25549.0</v>
      </c>
    </row>
    <row r="1081">
      <c r="A1081" s="5" t="s">
        <v>704</v>
      </c>
      <c r="B1081" s="6">
        <v>4319.8</v>
      </c>
      <c r="C1081" s="6">
        <v>25637.8</v>
      </c>
    </row>
    <row r="1082">
      <c r="A1082" s="5" t="s">
        <v>705</v>
      </c>
      <c r="B1082" s="6">
        <v>4366.4</v>
      </c>
      <c r="C1082" s="6">
        <v>25517.05</v>
      </c>
    </row>
    <row r="1083">
      <c r="A1083" s="5">
        <v>45664.0</v>
      </c>
      <c r="B1083" s="6">
        <v>4452.5</v>
      </c>
      <c r="C1083" s="6">
        <v>25541.8</v>
      </c>
    </row>
    <row r="1084">
      <c r="A1084" s="5">
        <v>45695.0</v>
      </c>
      <c r="B1084" s="6">
        <v>4398.0</v>
      </c>
      <c r="C1084" s="6">
        <v>25453.4</v>
      </c>
    </row>
    <row r="1085">
      <c r="A1085" s="5">
        <v>45723.0</v>
      </c>
      <c r="B1085" s="6">
        <v>4330.0</v>
      </c>
      <c r="C1085" s="6">
        <v>25405.3</v>
      </c>
    </row>
    <row r="1086">
      <c r="A1086" s="5">
        <v>45754.0</v>
      </c>
      <c r="B1086" s="6">
        <v>4261.8</v>
      </c>
      <c r="C1086" s="6">
        <v>25461.0</v>
      </c>
    </row>
    <row r="1087">
      <c r="A1087" s="5">
        <v>45845.0</v>
      </c>
      <c r="B1087" s="6">
        <v>4241.0</v>
      </c>
      <c r="C1087" s="6">
        <v>25461.3</v>
      </c>
    </row>
    <row r="1088">
      <c r="A1088" s="5">
        <v>45876.0</v>
      </c>
      <c r="B1088" s="6">
        <v>4212.9</v>
      </c>
      <c r="C1088" s="6">
        <v>25522.5</v>
      </c>
    </row>
    <row r="1089">
      <c r="A1089" s="5">
        <v>45907.0</v>
      </c>
      <c r="B1089" s="6">
        <v>4187.0</v>
      </c>
      <c r="C1089" s="6">
        <v>25476.1</v>
      </c>
    </row>
    <row r="1090">
      <c r="A1090" s="5">
        <v>45937.0</v>
      </c>
      <c r="B1090" s="6">
        <v>4157.0</v>
      </c>
      <c r="C1090" s="6">
        <v>25355.25</v>
      </c>
    </row>
    <row r="1091">
      <c r="A1091" s="5">
        <v>45968.0</v>
      </c>
      <c r="B1091" s="6">
        <v>4069.0</v>
      </c>
      <c r="C1091" s="6">
        <v>25149.85</v>
      </c>
    </row>
    <row r="1092">
      <c r="A1092" s="5" t="s">
        <v>706</v>
      </c>
      <c r="B1092" s="6">
        <v>4013.9</v>
      </c>
      <c r="C1092" s="6">
        <v>25082.3</v>
      </c>
    </row>
    <row r="1093">
      <c r="A1093" s="5" t="s">
        <v>707</v>
      </c>
      <c r="B1093" s="6">
        <v>4026.9</v>
      </c>
      <c r="C1093" s="6">
        <v>25195.8</v>
      </c>
    </row>
    <row r="1094">
      <c r="A1094" s="5" t="s">
        <v>708</v>
      </c>
      <c r="B1094" s="6">
        <v>4082.7</v>
      </c>
      <c r="C1094" s="6">
        <v>25212.05</v>
      </c>
    </row>
    <row r="1095">
      <c r="A1095" s="5" t="s">
        <v>709</v>
      </c>
      <c r="B1095" s="6">
        <v>4057.0</v>
      </c>
      <c r="C1095" s="6">
        <v>25111.45</v>
      </c>
    </row>
    <row r="1096">
      <c r="A1096" s="5" t="s">
        <v>710</v>
      </c>
      <c r="B1096" s="6">
        <v>4048.0</v>
      </c>
      <c r="C1096" s="6">
        <v>24968.4</v>
      </c>
    </row>
    <row r="1097">
      <c r="A1097" s="5" t="s">
        <v>711</v>
      </c>
      <c r="B1097" s="6">
        <v>4020.0</v>
      </c>
      <c r="C1097" s="6">
        <v>25090.7</v>
      </c>
    </row>
    <row r="1098">
      <c r="A1098" s="5" t="s">
        <v>712</v>
      </c>
      <c r="B1098" s="6">
        <v>4033.0</v>
      </c>
      <c r="C1098" s="6">
        <v>25060.9</v>
      </c>
    </row>
    <row r="1099">
      <c r="A1099" s="5" t="s">
        <v>713</v>
      </c>
      <c r="B1099" s="6">
        <v>4045.2</v>
      </c>
      <c r="C1099" s="6">
        <v>25219.9</v>
      </c>
    </row>
    <row r="1100">
      <c r="A1100" s="5" t="s">
        <v>714</v>
      </c>
      <c r="B1100" s="6">
        <v>4034.5</v>
      </c>
      <c r="C1100" s="6">
        <v>25062.1</v>
      </c>
    </row>
    <row r="1101">
      <c r="A1101" s="5" t="s">
        <v>715</v>
      </c>
      <c r="B1101" s="6">
        <v>4000.0</v>
      </c>
      <c r="C1101" s="6">
        <v>24837.0</v>
      </c>
    </row>
    <row r="1102">
      <c r="A1102" s="5" t="s">
        <v>716</v>
      </c>
      <c r="B1102" s="6">
        <v>3948.0</v>
      </c>
      <c r="C1102" s="6">
        <v>24680.9</v>
      </c>
    </row>
    <row r="1103">
      <c r="A1103" s="5" t="s">
        <v>717</v>
      </c>
      <c r="B1103" s="6">
        <v>4005.0</v>
      </c>
      <c r="C1103" s="6">
        <v>24821.1</v>
      </c>
    </row>
    <row r="1104">
      <c r="A1104" s="5" t="s">
        <v>718</v>
      </c>
      <c r="B1104" s="6">
        <v>4269.0</v>
      </c>
      <c r="C1104" s="6">
        <v>24855.05</v>
      </c>
    </row>
    <row r="1105">
      <c r="A1105" s="5" t="s">
        <v>719</v>
      </c>
      <c r="B1105" s="6">
        <v>4252.0</v>
      </c>
      <c r="C1105" s="6">
        <v>24768.35</v>
      </c>
    </row>
    <row r="1106">
      <c r="A1106" s="5">
        <v>45665.0</v>
      </c>
      <c r="B1106" s="6">
        <v>4216.6</v>
      </c>
      <c r="C1106" s="6">
        <v>24565.35</v>
      </c>
    </row>
    <row r="1107">
      <c r="A1107" s="5">
        <v>45755.0</v>
      </c>
      <c r="B1107" s="6">
        <v>4215.0</v>
      </c>
      <c r="C1107" s="6">
        <v>24722.75</v>
      </c>
    </row>
    <row r="1108">
      <c r="A1108" s="5">
        <v>45785.0</v>
      </c>
      <c r="B1108" s="6">
        <v>4263.0</v>
      </c>
      <c r="C1108" s="6">
        <v>24649.55</v>
      </c>
    </row>
    <row r="1109">
      <c r="A1109" s="5">
        <v>45816.0</v>
      </c>
      <c r="B1109" s="6">
        <v>4230.0</v>
      </c>
      <c r="C1109" s="6">
        <v>24574.2</v>
      </c>
    </row>
    <row r="1110">
      <c r="A1110" s="5">
        <v>45846.0</v>
      </c>
      <c r="B1110" s="6">
        <v>4251.0</v>
      </c>
      <c r="C1110" s="6">
        <v>24596.15</v>
      </c>
    </row>
    <row r="1111">
      <c r="A1111" s="5">
        <v>45877.0</v>
      </c>
      <c r="B1111" s="6">
        <v>4168.7</v>
      </c>
      <c r="C1111" s="6">
        <v>24363.3</v>
      </c>
    </row>
    <row r="1112">
      <c r="A1112" s="5">
        <v>45969.0</v>
      </c>
      <c r="B1112" s="6">
        <v>4183.8</v>
      </c>
      <c r="C1112" s="6">
        <v>24585.05</v>
      </c>
    </row>
    <row r="1113">
      <c r="A1113" s="5">
        <v>45999.0</v>
      </c>
      <c r="B1113" s="6">
        <v>4252.0</v>
      </c>
      <c r="C1113" s="6">
        <v>24487.4</v>
      </c>
    </row>
    <row r="1114">
      <c r="A1114" s="5" t="s">
        <v>720</v>
      </c>
      <c r="B1114" s="6">
        <v>4328.0</v>
      </c>
      <c r="C1114" s="6">
        <v>24619.35</v>
      </c>
    </row>
    <row r="1115">
      <c r="A1115" s="5" t="s">
        <v>721</v>
      </c>
      <c r="B1115" s="6">
        <v>4347.8</v>
      </c>
      <c r="C1115" s="6">
        <v>24631.3</v>
      </c>
    </row>
    <row r="1116">
      <c r="A1116" s="5" t="s">
        <v>722</v>
      </c>
      <c r="B1116" s="6">
        <v>4556.9</v>
      </c>
      <c r="C1116" s="6">
        <v>24876.95</v>
      </c>
    </row>
    <row r="1117">
      <c r="A1117" s="5" t="s">
        <v>723</v>
      </c>
      <c r="B1117" s="6">
        <v>4656.0</v>
      </c>
      <c r="C1117" s="6">
        <v>24980.65</v>
      </c>
    </row>
    <row r="1118">
      <c r="A1118" s="5" t="s">
        <v>724</v>
      </c>
      <c r="B1118" s="6">
        <v>4727.9</v>
      </c>
      <c r="C1118" s="6">
        <v>25050.55</v>
      </c>
    </row>
    <row r="1119">
      <c r="A1119" s="5" t="s">
        <v>725</v>
      </c>
      <c r="B1119" s="6">
        <v>4694.0</v>
      </c>
      <c r="C1119" s="6">
        <v>25083.75</v>
      </c>
    </row>
    <row r="1120">
      <c r="A1120" s="5" t="s">
        <v>726</v>
      </c>
      <c r="B1120" s="6">
        <v>4694.3</v>
      </c>
      <c r="C1120" s="6">
        <v>24870.1</v>
      </c>
    </row>
    <row r="1121">
      <c r="A1121" s="5" t="s">
        <v>727</v>
      </c>
      <c r="B1121" s="6">
        <v>4721.6</v>
      </c>
      <c r="C1121" s="6">
        <v>24967.75</v>
      </c>
    </row>
    <row r="1122">
      <c r="A1122" s="5" t="s">
        <v>728</v>
      </c>
      <c r="B1122" s="6">
        <v>4725.0</v>
      </c>
      <c r="C1122" s="6">
        <v>24712.05</v>
      </c>
    </row>
    <row r="1123">
      <c r="A1123" s="5" t="s">
        <v>729</v>
      </c>
      <c r="B1123" s="6">
        <v>4720.0</v>
      </c>
      <c r="C1123" s="6">
        <v>24500.9</v>
      </c>
    </row>
    <row r="1124">
      <c r="A1124" s="5" t="s">
        <v>730</v>
      </c>
      <c r="B1124" s="6">
        <v>4752.0</v>
      </c>
      <c r="C1124" s="6">
        <v>24426.85</v>
      </c>
    </row>
    <row r="1125">
      <c r="A1125" s="5">
        <v>45666.0</v>
      </c>
      <c r="B1125" s="6">
        <v>4748.0</v>
      </c>
      <c r="C1125" s="6">
        <v>24625.05</v>
      </c>
    </row>
    <row r="1126">
      <c r="A1126" s="5">
        <v>45697.0</v>
      </c>
      <c r="B1126" s="6">
        <v>4672.9</v>
      </c>
      <c r="C1126" s="6">
        <v>24579.6</v>
      </c>
    </row>
    <row r="1127">
      <c r="A1127" s="5">
        <v>45725.0</v>
      </c>
      <c r="B1127" s="6">
        <v>4761.9</v>
      </c>
      <c r="C1127" s="6">
        <v>24715.05</v>
      </c>
    </row>
    <row r="1128">
      <c r="A1128" s="5">
        <v>45756.0</v>
      </c>
      <c r="B1128" s="6">
        <v>4835.0</v>
      </c>
      <c r="C1128" s="6">
        <v>24734.3</v>
      </c>
    </row>
    <row r="1129">
      <c r="A1129" s="5">
        <v>45786.0</v>
      </c>
      <c r="B1129" s="6">
        <v>4800.0</v>
      </c>
      <c r="C1129" s="6">
        <v>24741.0</v>
      </c>
    </row>
    <row r="1130">
      <c r="A1130" s="5">
        <v>45878.0</v>
      </c>
      <c r="B1130" s="6">
        <v>4712.0</v>
      </c>
      <c r="C1130" s="6">
        <v>24773.15</v>
      </c>
    </row>
    <row r="1131">
      <c r="A1131" s="5">
        <v>45909.0</v>
      </c>
      <c r="B1131" s="6">
        <v>4765.0</v>
      </c>
      <c r="C1131" s="6">
        <v>24868.6</v>
      </c>
    </row>
    <row r="1132">
      <c r="A1132" s="5">
        <v>45939.0</v>
      </c>
      <c r="B1132" s="6">
        <v>4632.7</v>
      </c>
      <c r="C1132" s="6">
        <v>24973.1</v>
      </c>
    </row>
    <row r="1133">
      <c r="A1133" s="5">
        <v>45970.0</v>
      </c>
      <c r="B1133" s="6">
        <v>4592.0</v>
      </c>
      <c r="C1133" s="6">
        <v>25005.5</v>
      </c>
    </row>
    <row r="1134">
      <c r="A1134" s="5">
        <v>46000.0</v>
      </c>
      <c r="B1134" s="6">
        <v>4615.0</v>
      </c>
      <c r="C1134" s="6">
        <v>25114.0</v>
      </c>
    </row>
    <row r="1135">
      <c r="A1135" s="5" t="s">
        <v>731</v>
      </c>
      <c r="B1135" s="6">
        <v>4655.0</v>
      </c>
      <c r="C1135" s="6">
        <v>25069.2</v>
      </c>
    </row>
    <row r="1136">
      <c r="A1136" s="5" t="s">
        <v>732</v>
      </c>
      <c r="B1136" s="6">
        <v>4688.1</v>
      </c>
      <c r="C1136" s="6">
        <v>25239.1</v>
      </c>
    </row>
    <row r="1137">
      <c r="A1137" s="5" t="s">
        <v>733</v>
      </c>
      <c r="B1137" s="6">
        <v>4720.0</v>
      </c>
      <c r="C1137" s="6">
        <v>25330.25</v>
      </c>
    </row>
    <row r="1138">
      <c r="A1138" s="5" t="s">
        <v>734</v>
      </c>
      <c r="B1138" s="6">
        <v>4775.0</v>
      </c>
      <c r="C1138" s="6">
        <v>25423.6</v>
      </c>
    </row>
    <row r="1139">
      <c r="A1139" s="5" t="s">
        <v>735</v>
      </c>
      <c r="B1139" s="6">
        <v>4783.0</v>
      </c>
      <c r="C1139" s="6">
        <v>25327.05</v>
      </c>
    </row>
    <row r="1140">
      <c r="A1140" s="5" t="s">
        <v>736</v>
      </c>
      <c r="B1140" s="6">
        <v>4675.0</v>
      </c>
      <c r="C1140" s="6">
        <v>25202.35</v>
      </c>
    </row>
    <row r="1141">
      <c r="A1141" s="5" t="s">
        <v>737</v>
      </c>
      <c r="B1141" s="6">
        <v>4622.7</v>
      </c>
      <c r="C1141" s="6">
        <v>25169.5</v>
      </c>
    </row>
    <row r="1142">
      <c r="A1142" s="5" t="s">
        <v>738</v>
      </c>
      <c r="B1142" s="6">
        <v>4632.0</v>
      </c>
      <c r="C1142" s="6">
        <v>25056.9</v>
      </c>
    </row>
    <row r="1143">
      <c r="A1143" s="5" t="s">
        <v>739</v>
      </c>
      <c r="B1143" s="6">
        <v>4580.1</v>
      </c>
      <c r="C1143" s="6">
        <v>24890.85</v>
      </c>
    </row>
    <row r="1144">
      <c r="A1144" s="5" t="s">
        <v>740</v>
      </c>
      <c r="B1144" s="6">
        <v>4524.1</v>
      </c>
      <c r="C1144" s="6">
        <v>24654.7</v>
      </c>
    </row>
    <row r="1145">
      <c r="A1145" s="5" t="s">
        <v>741</v>
      </c>
      <c r="B1145" s="6">
        <v>4532.0</v>
      </c>
      <c r="C1145" s="6">
        <v>24634.9</v>
      </c>
    </row>
    <row r="1146">
      <c r="A1146" s="5" t="s">
        <v>742</v>
      </c>
      <c r="B1146" s="6">
        <v>4464.1</v>
      </c>
      <c r="C1146" s="6">
        <v>24611.1</v>
      </c>
    </row>
    <row r="1147">
      <c r="A1147" s="5">
        <v>45667.0</v>
      </c>
      <c r="B1147" s="6">
        <v>4452.0</v>
      </c>
      <c r="C1147" s="6">
        <v>24836.3</v>
      </c>
    </row>
    <row r="1148">
      <c r="A1148" s="5">
        <v>45726.0</v>
      </c>
      <c r="B1148" s="6">
        <v>4420.0</v>
      </c>
      <c r="C1148" s="6">
        <v>24894.25</v>
      </c>
    </row>
    <row r="1149">
      <c r="A1149" s="5">
        <v>45818.0</v>
      </c>
      <c r="B1149" s="6">
        <v>4300.0</v>
      </c>
      <c r="C1149" s="6">
        <v>25077.65</v>
      </c>
    </row>
    <row r="1150">
      <c r="A1150" s="5">
        <v>45848.0</v>
      </c>
      <c r="B1150" s="6">
        <v>4311.0</v>
      </c>
      <c r="C1150" s="6">
        <v>25108.3</v>
      </c>
    </row>
    <row r="1151">
      <c r="A1151" s="5">
        <v>45879.0</v>
      </c>
      <c r="B1151" s="6">
        <v>4285.0</v>
      </c>
      <c r="C1151" s="6">
        <v>25046.15</v>
      </c>
    </row>
    <row r="1152">
      <c r="A1152" s="5">
        <v>45910.0</v>
      </c>
      <c r="B1152" s="6">
        <v>4311.0</v>
      </c>
      <c r="C1152" s="6">
        <v>25181.8</v>
      </c>
    </row>
    <row r="1153">
      <c r="A1153" s="5">
        <v>45940.0</v>
      </c>
      <c r="B1153" s="6">
        <v>4328.0</v>
      </c>
      <c r="C1153" s="6">
        <v>25285.35</v>
      </c>
    </row>
    <row r="1154">
      <c r="A1154" s="5" t="s">
        <v>743</v>
      </c>
      <c r="B1154" s="6">
        <v>4199.0</v>
      </c>
      <c r="C1154" s="6">
        <v>25227.35</v>
      </c>
    </row>
    <row r="1155">
      <c r="A1155" s="5" t="s">
        <v>744</v>
      </c>
      <c r="B1155" s="6">
        <v>4203.0</v>
      </c>
      <c r="C1155" s="6">
        <v>25145.5</v>
      </c>
    </row>
    <row r="1156">
      <c r="A1156" s="5" t="s">
        <v>745</v>
      </c>
      <c r="B1156" s="6">
        <v>4264.5</v>
      </c>
      <c r="C1156" s="6">
        <v>25323.55</v>
      </c>
    </row>
    <row r="1157">
      <c r="A1157" s="5" t="s">
        <v>746</v>
      </c>
      <c r="B1157" s="6">
        <v>4309.8</v>
      </c>
      <c r="C1157" s="6">
        <v>25585.3</v>
      </c>
    </row>
    <row r="1158">
      <c r="A1158" s="5" t="s">
        <v>747</v>
      </c>
      <c r="B1158" s="6">
        <v>4292.2</v>
      </c>
      <c r="C1158" s="6">
        <v>25709.85</v>
      </c>
    </row>
    <row r="1159">
      <c r="A1159" s="5" t="s">
        <v>748</v>
      </c>
      <c r="B1159" s="6">
        <v>4278.0</v>
      </c>
      <c r="C1159" s="6">
        <v>25843.15</v>
      </c>
    </row>
    <row r="1160">
      <c r="A1160" s="5" t="s">
        <v>749</v>
      </c>
      <c r="B1160" s="6">
        <v>4272.0</v>
      </c>
      <c r="C1160" s="6">
        <v>25868.6</v>
      </c>
    </row>
    <row r="1161">
      <c r="A1161" s="5" t="s">
        <v>750</v>
      </c>
      <c r="B1161" s="6">
        <v>4275.0</v>
      </c>
      <c r="C1161" s="6">
        <v>25891.4</v>
      </c>
    </row>
    <row r="1162">
      <c r="A1162" s="5" t="s">
        <v>751</v>
      </c>
      <c r="B1162" s="6">
        <v>4213.1</v>
      </c>
      <c r="C1162" s="6">
        <v>25795.15</v>
      </c>
    </row>
    <row r="1163">
      <c r="A1163" s="5" t="s">
        <v>752</v>
      </c>
      <c r="B1163" s="6">
        <v>4255.0</v>
      </c>
      <c r="C1163" s="6">
        <v>25966.05</v>
      </c>
    </row>
    <row r="1164">
      <c r="A1164" s="5" t="s">
        <v>753</v>
      </c>
      <c r="B1164" s="6">
        <v>4233.9</v>
      </c>
      <c r="C1164" s="6">
        <v>25936.2</v>
      </c>
    </row>
    <row r="1165">
      <c r="A1165" s="5" t="s">
        <v>754</v>
      </c>
      <c r="B1165" s="6">
        <v>4229.0</v>
      </c>
      <c r="C1165" s="6">
        <v>26053.9</v>
      </c>
    </row>
    <row r="1166">
      <c r="A1166" s="5" t="s">
        <v>755</v>
      </c>
      <c r="B1166" s="6">
        <v>4155.0</v>
      </c>
      <c r="C1166" s="6">
        <v>25877.85</v>
      </c>
    </row>
    <row r="1167">
      <c r="A1167" s="5" t="s">
        <v>756</v>
      </c>
      <c r="B1167" s="6">
        <v>4152.9</v>
      </c>
      <c r="C1167" s="6">
        <v>25722.1</v>
      </c>
    </row>
    <row r="1168">
      <c r="A1168" s="5">
        <v>45727.0</v>
      </c>
      <c r="B1168" s="6">
        <v>4164.0</v>
      </c>
      <c r="C1168" s="6">
        <v>25763.35</v>
      </c>
    </row>
    <row r="1169">
      <c r="A1169" s="5">
        <v>45758.0</v>
      </c>
      <c r="B1169" s="6">
        <v>4185.0</v>
      </c>
      <c r="C1169" s="6">
        <v>25597.65</v>
      </c>
    </row>
    <row r="1170">
      <c r="A1170" s="5">
        <v>45819.0</v>
      </c>
      <c r="B1170" s="6">
        <v>4089.0</v>
      </c>
      <c r="C1170" s="6">
        <v>25509.7</v>
      </c>
    </row>
    <row r="1171">
      <c r="A1171" s="5">
        <v>45849.0</v>
      </c>
      <c r="B1171" s="6">
        <v>4015.9</v>
      </c>
      <c r="C1171" s="6">
        <v>25492.3</v>
      </c>
    </row>
    <row r="1172">
      <c r="A1172" s="5">
        <v>45941.0</v>
      </c>
      <c r="B1172" s="6">
        <v>4035.0</v>
      </c>
      <c r="C1172" s="6">
        <v>25574.35</v>
      </c>
    </row>
    <row r="1173">
      <c r="A1173" s="5">
        <v>45972.0</v>
      </c>
      <c r="B1173" s="6">
        <v>4075.0</v>
      </c>
      <c r="C1173" s="6">
        <v>25694.95</v>
      </c>
    </row>
    <row r="1174">
      <c r="A1174" s="5">
        <v>46002.0</v>
      </c>
      <c r="B1174" s="6">
        <v>4054.0</v>
      </c>
      <c r="C1174" s="6">
        <v>25875.8</v>
      </c>
    </row>
    <row r="1175">
      <c r="A1175" s="5" t="s">
        <v>757</v>
      </c>
      <c r="B1175" s="6">
        <v>4060.0</v>
      </c>
      <c r="C1175" s="6">
        <v>25879.15</v>
      </c>
    </row>
    <row r="1176">
      <c r="A1176" s="5" t="s">
        <v>758</v>
      </c>
      <c r="B1176" s="6">
        <v>4053.0</v>
      </c>
      <c r="C1176" s="6">
        <v>25910.05</v>
      </c>
    </row>
    <row r="1177">
      <c r="A1177" s="5" t="s">
        <v>759</v>
      </c>
      <c r="B1177" s="6">
        <v>4039.0</v>
      </c>
      <c r="C1177" s="6">
        <v>26013.45</v>
      </c>
    </row>
    <row r="1178">
      <c r="A1178" s="5" t="s">
        <v>760</v>
      </c>
      <c r="B1178" s="6">
        <v>3995.0</v>
      </c>
      <c r="C1178" s="6">
        <v>25910.05</v>
      </c>
    </row>
    <row r="1179">
      <c r="A1179" s="5" t="s">
        <v>761</v>
      </c>
      <c r="B1179" s="6">
        <v>4035.0</v>
      </c>
      <c r="C1179" s="6">
        <v>26052.65</v>
      </c>
    </row>
    <row r="1180">
      <c r="A1180" s="5" t="s">
        <v>762</v>
      </c>
      <c r="B1180" s="6">
        <v>4085.0</v>
      </c>
      <c r="C1180" s="6">
        <v>26192.15</v>
      </c>
    </row>
    <row r="1181">
      <c r="A1181" s="5" t="s">
        <v>763</v>
      </c>
      <c r="B1181" s="6">
        <v>4040.3</v>
      </c>
      <c r="C1181" s="6">
        <v>26068.15</v>
      </c>
    </row>
    <row r="1182">
      <c r="A1182" s="5" t="s">
        <v>764</v>
      </c>
      <c r="B1182" s="6">
        <v>3985.0</v>
      </c>
      <c r="C1182" s="6">
        <v>25959.5</v>
      </c>
    </row>
    <row r="1183">
      <c r="A1183" s="5" t="s">
        <v>765</v>
      </c>
      <c r="B1183" s="6">
        <v>3989.5</v>
      </c>
      <c r="C1183" s="6">
        <v>25884.8</v>
      </c>
    </row>
    <row r="1184">
      <c r="A1184" s="5" t="s">
        <v>766</v>
      </c>
      <c r="B1184" s="6">
        <v>4015.0</v>
      </c>
      <c r="C1184" s="6">
        <v>26205.3</v>
      </c>
    </row>
    <row r="1185">
      <c r="A1185" s="5" t="s">
        <v>767</v>
      </c>
      <c r="B1185" s="6">
        <v>4014.9</v>
      </c>
      <c r="C1185" s="6">
        <v>26215.55</v>
      </c>
    </row>
    <row r="1186">
      <c r="A1186" s="5" t="s">
        <v>768</v>
      </c>
      <c r="B1186" s="6">
        <v>3995.9</v>
      </c>
      <c r="C1186" s="6">
        <v>26202.95</v>
      </c>
    </row>
    <row r="1187">
      <c r="A1187" s="5">
        <v>45669.0</v>
      </c>
      <c r="B1187" s="6">
        <v>3960.5</v>
      </c>
      <c r="C1187" s="6">
        <v>26175.75</v>
      </c>
    </row>
    <row r="1188">
      <c r="A1188" s="5">
        <v>45700.0</v>
      </c>
      <c r="B1188" s="6">
        <v>3963.8</v>
      </c>
      <c r="C1188" s="6">
        <v>26032.2</v>
      </c>
    </row>
    <row r="1189">
      <c r="A1189" s="5">
        <v>45728.0</v>
      </c>
      <c r="B1189" s="6">
        <v>3905.5</v>
      </c>
      <c r="C1189" s="6">
        <v>25986.0</v>
      </c>
    </row>
    <row r="1190">
      <c r="A1190" s="5">
        <v>45759.0</v>
      </c>
      <c r="B1190" s="6">
        <v>3915.7</v>
      </c>
      <c r="C1190" s="6">
        <v>26033.75</v>
      </c>
    </row>
    <row r="1191">
      <c r="A1191" s="5">
        <v>45789.0</v>
      </c>
      <c r="B1191" s="6">
        <v>3955.2</v>
      </c>
      <c r="C1191" s="6">
        <v>26186.45</v>
      </c>
    </row>
    <row r="1192">
      <c r="A1192" s="5">
        <v>45881.0</v>
      </c>
      <c r="B1192" s="6">
        <v>3866.9</v>
      </c>
      <c r="C1192" s="6">
        <v>25960.55</v>
      </c>
    </row>
    <row r="1193">
      <c r="A1193" s="5">
        <v>45912.0</v>
      </c>
      <c r="B1193" s="6">
        <v>3912.0</v>
      </c>
      <c r="C1193" s="6">
        <v>25839.65</v>
      </c>
    </row>
    <row r="1194">
      <c r="A1194" s="5">
        <v>45942.0</v>
      </c>
      <c r="B1194" s="6">
        <v>3817.0</v>
      </c>
      <c r="C1194" s="6">
        <v>25758.0</v>
      </c>
    </row>
    <row r="1195">
      <c r="A1195" s="5">
        <v>45973.0</v>
      </c>
      <c r="B1195" s="6">
        <v>3808.0</v>
      </c>
      <c r="C1195" s="6">
        <v>25898.55</v>
      </c>
    </row>
    <row r="1196">
      <c r="A1196" s="5">
        <v>46003.0</v>
      </c>
      <c r="B1196" s="6">
        <v>3845.0</v>
      </c>
      <c r="C1196" s="6">
        <v>26046.95</v>
      </c>
    </row>
    <row r="1197">
      <c r="A1197" s="5" t="s">
        <v>769</v>
      </c>
      <c r="B1197" s="6">
        <v>3832.9</v>
      </c>
      <c r="C1197" s="6">
        <v>26027.3</v>
      </c>
    </row>
    <row r="1198">
      <c r="A1198" s="5" t="s">
        <v>770</v>
      </c>
      <c r="B1198" s="6">
        <v>3861.0</v>
      </c>
      <c r="C1198" s="6">
        <v>25860.1</v>
      </c>
    </row>
    <row r="1199">
      <c r="A1199" s="5" t="s">
        <v>771</v>
      </c>
      <c r="B1199" s="6">
        <v>3820.1</v>
      </c>
      <c r="C1199" s="6">
        <v>25818.55</v>
      </c>
    </row>
    <row r="1200">
      <c r="A1200" s="5" t="s">
        <v>772</v>
      </c>
      <c r="B1200" s="6">
        <v>3763.0</v>
      </c>
      <c r="C1200" s="6">
        <v>25815.55</v>
      </c>
    </row>
    <row r="1201">
      <c r="A1201" s="5" t="s">
        <v>773</v>
      </c>
      <c r="B1201" s="6">
        <v>3826.7</v>
      </c>
      <c r="C1201" s="6">
        <v>25966.4</v>
      </c>
    </row>
    <row r="1202">
      <c r="A1202" s="5" t="s">
        <v>774</v>
      </c>
      <c r="B1202" s="6">
        <v>3824.6</v>
      </c>
      <c r="C1202" s="6">
        <v>26172.4</v>
      </c>
    </row>
    <row r="1203">
      <c r="A1203" s="5" t="s">
        <v>775</v>
      </c>
      <c r="B1203" s="6">
        <v>3832.9</v>
      </c>
      <c r="C1203" s="6">
        <v>26177.15</v>
      </c>
    </row>
    <row r="1204">
      <c r="A1204" s="5" t="s">
        <v>776</v>
      </c>
      <c r="B1204" s="6">
        <v>3805.0</v>
      </c>
      <c r="C1204" s="6">
        <v>26142.1</v>
      </c>
    </row>
    <row r="1205">
      <c r="A1205" s="5" t="s">
        <v>777</v>
      </c>
      <c r="B1205" s="6">
        <v>3790.0</v>
      </c>
      <c r="C1205" s="6">
        <v>26042.3</v>
      </c>
    </row>
    <row r="1206">
      <c r="A1206" s="5" t="s">
        <v>778</v>
      </c>
      <c r="B1206" s="6">
        <v>3789.9</v>
      </c>
      <c r="C1206" s="6">
        <v>25942.1</v>
      </c>
    </row>
    <row r="1207">
      <c r="A1207" s="5" t="s">
        <v>779</v>
      </c>
      <c r="B1207" s="6">
        <v>3750.0</v>
      </c>
      <c r="C1207" s="6">
        <v>25938.85</v>
      </c>
    </row>
    <row r="1208">
      <c r="A1208" s="5" t="s">
        <v>780</v>
      </c>
      <c r="B1208" s="6">
        <v>3776.0</v>
      </c>
      <c r="C1208" s="6">
        <v>26129.6</v>
      </c>
    </row>
    <row r="1209">
      <c r="A1209" s="5">
        <v>46023.0</v>
      </c>
      <c r="B1209" s="6">
        <v>3714.2</v>
      </c>
      <c r="C1209" s="6">
        <v>26146.55</v>
      </c>
    </row>
    <row r="1210">
      <c r="A1210" s="5">
        <v>46054.0</v>
      </c>
      <c r="B1210" s="6">
        <v>3721.0</v>
      </c>
      <c r="C1210" s="6">
        <v>26328.55</v>
      </c>
    </row>
    <row r="1211">
      <c r="A1211" s="5">
        <v>46143.0</v>
      </c>
      <c r="B1211" s="6">
        <v>3641.0</v>
      </c>
      <c r="C1211" s="6">
        <v>26250.3</v>
      </c>
    </row>
    <row r="1212">
      <c r="A1212" s="5">
        <v>46174.0</v>
      </c>
      <c r="B1212" s="6">
        <v>3669.9</v>
      </c>
      <c r="C1212" s="6">
        <v>26178.7</v>
      </c>
    </row>
    <row r="1213">
      <c r="A1213" s="5">
        <v>46204.0</v>
      </c>
      <c r="B1213" s="6">
        <v>3842.6</v>
      </c>
      <c r="C1213" s="6">
        <v>26140.75</v>
      </c>
    </row>
    <row r="1214">
      <c r="A1214" s="5">
        <v>46235.0</v>
      </c>
      <c r="B1214" s="6">
        <v>3792.0</v>
      </c>
      <c r="C1214" s="6">
        <v>25876.85</v>
      </c>
    </row>
    <row r="1215">
      <c r="A1215" s="5">
        <v>46266.0</v>
      </c>
      <c r="B1215" s="6">
        <v>3807.0</v>
      </c>
      <c r="C1215" s="6">
        <v>25683.3</v>
      </c>
    </row>
    <row r="1216">
      <c r="A1216" s="5">
        <v>46357.0</v>
      </c>
      <c r="B1216" s="6">
        <v>3830.0</v>
      </c>
      <c r="C1216" s="6">
        <v>25790.25</v>
      </c>
    </row>
    <row r="1217">
      <c r="A1217" s="5" t="s">
        <v>781</v>
      </c>
      <c r="B1217" s="6">
        <v>3832.2</v>
      </c>
      <c r="C1217" s="6">
        <v>25732.3</v>
      </c>
    </row>
    <row r="1218">
      <c r="A1218" s="5" t="s">
        <v>782</v>
      </c>
      <c r="B1218" s="6">
        <v>3831.4</v>
      </c>
      <c r="C1218" s="6">
        <v>25665.6</v>
      </c>
    </row>
    <row r="1219">
      <c r="A1219" s="5" t="s">
        <v>783</v>
      </c>
      <c r="B1219" s="6">
        <v>3775.3</v>
      </c>
      <c r="C1219" s="6">
        <v>25694.35</v>
      </c>
    </row>
    <row r="1220">
      <c r="A1220" s="5" t="s">
        <v>784</v>
      </c>
      <c r="B1220" s="6">
        <v>3760.0</v>
      </c>
      <c r="C1220" s="6">
        <v>25585.5</v>
      </c>
    </row>
    <row r="1221">
      <c r="A1221" s="5" t="s">
        <v>785</v>
      </c>
      <c r="B1221" s="6">
        <v>3665.4</v>
      </c>
      <c r="C1221" s="6">
        <v>25232.5</v>
      </c>
    </row>
    <row r="1222">
      <c r="A1222" s="5" t="s">
        <v>786</v>
      </c>
      <c r="B1222" s="6">
        <v>3651.9</v>
      </c>
      <c r="C1222" s="6">
        <v>25157.5</v>
      </c>
    </row>
    <row r="1223">
      <c r="A1223" s="5" t="s">
        <v>787</v>
      </c>
      <c r="B1223" s="6">
        <v>3730.0</v>
      </c>
      <c r="C1223" s="6">
        <v>25289.9</v>
      </c>
    </row>
    <row r="1224">
      <c r="A1224" s="5" t="s">
        <v>788</v>
      </c>
      <c r="B1224" s="6">
        <v>3665.6</v>
      </c>
      <c r="C1224" s="6">
        <v>25048.65</v>
      </c>
    </row>
    <row r="1225">
      <c r="A1225" s="5" t="s">
        <v>789</v>
      </c>
      <c r="B1225" s="6">
        <v>3685.0</v>
      </c>
      <c r="C1225" s="6">
        <v>25175.4</v>
      </c>
    </row>
    <row r="1226">
      <c r="A1226" s="5" t="s">
        <v>790</v>
      </c>
      <c r="B1226" s="6">
        <v>3735.0</v>
      </c>
      <c r="C1226" s="6">
        <v>25342.75</v>
      </c>
    </row>
    <row r="1227">
      <c r="A1227" s="5" t="s">
        <v>791</v>
      </c>
      <c r="B1227" s="6">
        <v>3668.9</v>
      </c>
      <c r="C1227" s="6">
        <v>25418.9</v>
      </c>
    </row>
    <row r="1228">
      <c r="A1228" s="5" t="s">
        <v>792</v>
      </c>
      <c r="B1228" s="6">
        <v>3697.4</v>
      </c>
      <c r="C1228" s="6">
        <v>25320.65</v>
      </c>
    </row>
    <row r="1229">
      <c r="A1229" s="5">
        <v>46024.0</v>
      </c>
      <c r="B1229" s="6">
        <v>3602.5</v>
      </c>
      <c r="C1229" s="6">
        <v>24825.45</v>
      </c>
    </row>
    <row r="1230">
      <c r="A1230" s="5">
        <v>46055.0</v>
      </c>
      <c r="B1230" s="6">
        <v>3665.5</v>
      </c>
      <c r="C1230" s="6">
        <v>25088.4</v>
      </c>
    </row>
    <row r="1231">
      <c r="A1231" s="5">
        <v>46083.0</v>
      </c>
      <c r="B1231" s="6">
        <v>3778.8</v>
      </c>
      <c r="C1231" s="6">
        <v>25727.55</v>
      </c>
    </row>
    <row r="1232">
      <c r="A1232" s="5">
        <v>46114.0</v>
      </c>
      <c r="B1232" s="6">
        <v>3824.0</v>
      </c>
      <c r="C1232" s="6">
        <v>25776.0</v>
      </c>
    </row>
    <row r="1233">
      <c r="A1233" s="5">
        <v>46144.0</v>
      </c>
      <c r="B1233" s="6">
        <v>3930.0</v>
      </c>
      <c r="C1233" s="6">
        <v>25642.8</v>
      </c>
    </row>
    <row r="1234">
      <c r="A1234" s="5">
        <v>46175.0</v>
      </c>
      <c r="B1234" s="6">
        <v>3893.0</v>
      </c>
      <c r="C1234" s="6">
        <v>25693.7</v>
      </c>
    </row>
    <row r="1235">
      <c r="A1235" s="5">
        <v>46267.0</v>
      </c>
      <c r="B1235" s="6">
        <v>3924.8</v>
      </c>
      <c r="C1235" s="6">
        <v>25867.3</v>
      </c>
    </row>
    <row r="1236">
      <c r="A1236" s="5">
        <v>46297.0</v>
      </c>
      <c r="B1236" s="6">
        <v>4005.4</v>
      </c>
      <c r="C1236" s="6">
        <v>25935.15</v>
      </c>
    </row>
    <row r="1237">
      <c r="A1237" s="5">
        <v>46328.0</v>
      </c>
      <c r="B1237" s="6">
        <v>4000.0</v>
      </c>
      <c r="C1237" s="6">
        <v>25953.85</v>
      </c>
    </row>
    <row r="1238">
      <c r="A1238" s="5">
        <v>46358.0</v>
      </c>
      <c r="B1238" s="6">
        <v>3957.6</v>
      </c>
      <c r="C1238" s="6">
        <v>25807.2</v>
      </c>
    </row>
    <row r="1239">
      <c r="A1239" s="5" t="s">
        <v>793</v>
      </c>
      <c r="B1239" s="6">
        <v>3890.0</v>
      </c>
      <c r="C1239" s="6">
        <v>25471.1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</cols>
  <sheetData>
    <row r="1">
      <c r="A1" s="7" t="s">
        <v>794</v>
      </c>
      <c r="B1" s="8">
        <v>44621.0</v>
      </c>
      <c r="C1" s="8">
        <v>44986.0</v>
      </c>
      <c r="D1" s="8">
        <v>45352.0</v>
      </c>
      <c r="E1" s="9">
        <v>45717.0</v>
      </c>
    </row>
    <row r="2">
      <c r="A2" s="7" t="s">
        <v>795</v>
      </c>
      <c r="B2" s="10">
        <v>30976.0</v>
      </c>
      <c r="C2" s="10">
        <v>42840.0</v>
      </c>
      <c r="D2" s="10">
        <v>50789.0</v>
      </c>
      <c r="E2" s="10">
        <v>59358.0</v>
      </c>
    </row>
    <row r="3">
      <c r="A3" s="11" t="s">
        <v>796</v>
      </c>
      <c r="B3" s="12">
        <v>0.22059013429752067</v>
      </c>
      <c r="C3" s="13">
        <f t="shared" ref="C3:E3" si="1">((C2-B2)/C2)</f>
        <v>0.2769374416</v>
      </c>
      <c r="D3" s="13">
        <f t="shared" si="1"/>
        <v>0.156510268</v>
      </c>
      <c r="E3" s="13">
        <f t="shared" si="1"/>
        <v>0.1443613329</v>
      </c>
    </row>
    <row r="4">
      <c r="A4" s="7" t="s">
        <v>797</v>
      </c>
      <c r="B4" s="14">
        <f t="shared" ref="B4:E4" si="2">B1-B3</f>
        <v>44620.77941</v>
      </c>
      <c r="C4" s="14">
        <f t="shared" si="2"/>
        <v>44985.72306</v>
      </c>
      <c r="D4" s="14">
        <f t="shared" si="2"/>
        <v>45351.84349</v>
      </c>
      <c r="E4" s="14">
        <f t="shared" si="2"/>
        <v>45716.85564</v>
      </c>
    </row>
    <row r="5">
      <c r="A5" s="11" t="s">
        <v>798</v>
      </c>
      <c r="B5" s="15">
        <v>0.08</v>
      </c>
      <c r="C5" s="15">
        <v>0.08</v>
      </c>
      <c r="D5" s="15">
        <v>0.08</v>
      </c>
      <c r="E5" s="15">
        <v>0.08</v>
      </c>
    </row>
    <row r="6">
      <c r="A6" s="7" t="s">
        <v>799</v>
      </c>
      <c r="B6" s="10">
        <v>1492.0</v>
      </c>
      <c r="C6" s="10">
        <v>2378.0</v>
      </c>
      <c r="D6" s="10">
        <v>2536.0</v>
      </c>
      <c r="E6" s="10">
        <v>2707.0</v>
      </c>
    </row>
    <row r="7">
      <c r="A7" s="11" t="s">
        <v>800</v>
      </c>
      <c r="B7" s="16">
        <v>0.08</v>
      </c>
      <c r="C7" s="13">
        <f t="shared" ref="C7:E7" si="3">((C6-B6)/C6)</f>
        <v>0.3725820017</v>
      </c>
      <c r="D7" s="13">
        <f t="shared" si="3"/>
        <v>0.06230283912</v>
      </c>
      <c r="E7" s="13">
        <f t="shared" si="3"/>
        <v>0.0631695604</v>
      </c>
    </row>
    <row r="8">
      <c r="A8" s="7" t="s">
        <v>801</v>
      </c>
      <c r="B8" s="17">
        <v>23.04</v>
      </c>
      <c r="C8" s="17">
        <v>36.69</v>
      </c>
      <c r="D8" s="17">
        <v>38.97</v>
      </c>
      <c r="E8" s="17">
        <v>41.61</v>
      </c>
    </row>
    <row r="14">
      <c r="E14" s="12"/>
    </row>
    <row r="15">
      <c r="E15" s="18"/>
    </row>
    <row r="16">
      <c r="E16" s="16"/>
    </row>
    <row r="17">
      <c r="E17" s="1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</cols>
  <sheetData>
    <row r="1">
      <c r="B1" s="19">
        <v>45382.0</v>
      </c>
      <c r="C1" s="19">
        <v>45473.0</v>
      </c>
      <c r="D1" s="19">
        <v>45565.0</v>
      </c>
      <c r="E1" s="20">
        <v>45657.0</v>
      </c>
      <c r="F1" s="20">
        <v>45382.0</v>
      </c>
      <c r="G1" s="20">
        <v>45838.0</v>
      </c>
      <c r="H1" s="20">
        <v>45930.0</v>
      </c>
      <c r="I1" s="20">
        <v>46022.0</v>
      </c>
    </row>
    <row r="2">
      <c r="A2" s="21" t="s">
        <v>802</v>
      </c>
      <c r="B2" s="22">
        <v>0.7465</v>
      </c>
      <c r="C2" s="22">
        <v>0.7465</v>
      </c>
      <c r="D2" s="22">
        <v>0.7465</v>
      </c>
      <c r="E2" s="22">
        <v>0.7465</v>
      </c>
      <c r="F2" s="22">
        <v>0.7465</v>
      </c>
      <c r="G2" s="22">
        <v>0.7465</v>
      </c>
      <c r="H2" s="22">
        <v>0.7465</v>
      </c>
      <c r="I2" s="22">
        <v>0.7465</v>
      </c>
    </row>
    <row r="3">
      <c r="A3" s="23"/>
    </row>
    <row r="4">
      <c r="A4" s="21" t="s">
        <v>803</v>
      </c>
      <c r="B4" s="22">
        <v>0.0826</v>
      </c>
      <c r="C4" s="22">
        <v>0.0922</v>
      </c>
      <c r="D4" s="22">
        <v>0.0995</v>
      </c>
      <c r="E4" s="22">
        <v>0.0896</v>
      </c>
      <c r="F4" s="22">
        <v>0.0818</v>
      </c>
      <c r="G4" s="22">
        <v>0.0825</v>
      </c>
      <c r="H4" s="22">
        <v>0.0873</v>
      </c>
      <c r="I4" s="22">
        <v>0.0889</v>
      </c>
    </row>
    <row r="5">
      <c r="A5" s="23"/>
      <c r="B5" s="12"/>
      <c r="C5" s="12"/>
      <c r="D5" s="12"/>
      <c r="E5" s="12"/>
      <c r="F5" s="12"/>
      <c r="G5" s="12"/>
      <c r="H5" s="12"/>
      <c r="I5" s="12"/>
    </row>
    <row r="6">
      <c r="A6" s="24" t="s">
        <v>804</v>
      </c>
      <c r="B6" s="25">
        <v>0.0729</v>
      </c>
      <c r="C6" s="25">
        <v>0.0681</v>
      </c>
      <c r="D6" s="25">
        <v>0.0595</v>
      </c>
      <c r="E6" s="25">
        <v>0.0677</v>
      </c>
      <c r="F6" s="25">
        <v>0.0763</v>
      </c>
      <c r="G6" s="25">
        <v>0.0737</v>
      </c>
      <c r="H6" s="25">
        <v>0.0684</v>
      </c>
      <c r="I6" s="25">
        <v>0.0669</v>
      </c>
    </row>
    <row r="7">
      <c r="A7" s="26" t="s">
        <v>805</v>
      </c>
      <c r="B7" s="27">
        <v>0.0089</v>
      </c>
      <c r="C7" s="27">
        <v>0.0081</v>
      </c>
      <c r="D7" s="27">
        <v>0.0068</v>
      </c>
      <c r="E7" s="27">
        <v>0.0046</v>
      </c>
      <c r="F7" s="27">
        <v>0.006</v>
      </c>
      <c r="G7" s="27">
        <v>0.0079</v>
      </c>
      <c r="H7" s="27">
        <v>0.0086</v>
      </c>
      <c r="I7" s="27">
        <v>0.006</v>
      </c>
    </row>
    <row r="8">
      <c r="A8" s="26" t="s">
        <v>806</v>
      </c>
      <c r="B8" s="28">
        <f t="shared" ref="B8:I8" si="1">B9-(B6+B7)</f>
        <v>0.0041</v>
      </c>
      <c r="C8" s="28">
        <f t="shared" si="1"/>
        <v>0.0041</v>
      </c>
      <c r="D8" s="28">
        <f t="shared" si="1"/>
        <v>0.0086</v>
      </c>
      <c r="E8" s="28">
        <f t="shared" si="1"/>
        <v>0.0091</v>
      </c>
      <c r="F8" s="28">
        <f t="shared" si="1"/>
        <v>0.0092</v>
      </c>
      <c r="G8" s="28">
        <f t="shared" si="1"/>
        <v>0.0113</v>
      </c>
      <c r="H8" s="28">
        <f t="shared" si="1"/>
        <v>0.0138</v>
      </c>
      <c r="I8" s="28">
        <f t="shared" si="1"/>
        <v>0.016</v>
      </c>
    </row>
    <row r="9">
      <c r="A9" s="29" t="s">
        <v>807</v>
      </c>
      <c r="B9" s="30">
        <v>0.0859</v>
      </c>
      <c r="C9" s="30">
        <v>0.0803</v>
      </c>
      <c r="D9" s="30">
        <v>0.0749</v>
      </c>
      <c r="E9" s="30">
        <v>0.0814</v>
      </c>
      <c r="F9" s="30">
        <v>0.0915</v>
      </c>
      <c r="G9" s="30">
        <v>0.0929</v>
      </c>
      <c r="H9" s="30">
        <v>0.0908</v>
      </c>
      <c r="I9" s="30">
        <v>0.0889</v>
      </c>
    </row>
    <row r="10">
      <c r="A10" s="23"/>
      <c r="B10" s="12"/>
      <c r="C10" s="12"/>
      <c r="D10" s="12"/>
      <c r="E10" s="12"/>
      <c r="F10" s="12"/>
      <c r="G10" s="12"/>
      <c r="H10" s="12"/>
      <c r="I10" s="12"/>
    </row>
    <row r="11">
      <c r="A11" s="24" t="s">
        <v>808</v>
      </c>
      <c r="B11" s="25">
        <v>0.0543</v>
      </c>
      <c r="C11" s="25">
        <v>0.0507</v>
      </c>
      <c r="D11" s="25">
        <v>0.0489</v>
      </c>
      <c r="E11" s="25">
        <v>0.0517</v>
      </c>
      <c r="F11" s="25">
        <v>0.0495</v>
      </c>
      <c r="G11" s="25">
        <v>0.047</v>
      </c>
      <c r="H11" s="25">
        <v>0.0437</v>
      </c>
      <c r="I11" s="25">
        <v>0.0461</v>
      </c>
    </row>
    <row r="12">
      <c r="A12" s="26" t="s">
        <v>809</v>
      </c>
      <c r="B12" s="27">
        <v>0.0011</v>
      </c>
      <c r="C12" s="27">
        <v>0.001</v>
      </c>
      <c r="D12" s="27">
        <v>0.001</v>
      </c>
      <c r="E12" s="27">
        <v>0.001</v>
      </c>
      <c r="F12" s="27">
        <v>0.0011</v>
      </c>
      <c r="G12" s="27">
        <v>0.0011</v>
      </c>
      <c r="H12" s="27">
        <v>0.0011</v>
      </c>
      <c r="I12" s="27">
        <v>0.0011</v>
      </c>
    </row>
    <row r="13">
      <c r="A13" s="26" t="s">
        <v>810</v>
      </c>
      <c r="B13" s="27">
        <v>0.0018</v>
      </c>
      <c r="C13" s="27">
        <v>0.0017</v>
      </c>
      <c r="D13" s="27">
        <v>0.0017</v>
      </c>
      <c r="E13" s="27">
        <v>0.0016</v>
      </c>
      <c r="F13" s="27">
        <v>0.0015</v>
      </c>
      <c r="G13" s="27">
        <v>0.0017</v>
      </c>
      <c r="H13" s="27">
        <v>0.0017</v>
      </c>
      <c r="I13" s="27">
        <v>0.0017</v>
      </c>
    </row>
    <row r="14">
      <c r="A14" s="26" t="s">
        <v>811</v>
      </c>
      <c r="B14" s="27">
        <v>0.0196</v>
      </c>
      <c r="C14" s="27">
        <v>0.0195</v>
      </c>
      <c r="D14" s="27">
        <v>0.0195</v>
      </c>
      <c r="E14" s="27">
        <v>0.0195</v>
      </c>
      <c r="F14" s="27">
        <v>0.0194</v>
      </c>
      <c r="G14" s="27">
        <v>0.0193</v>
      </c>
      <c r="H14" s="27">
        <v>0.0193</v>
      </c>
      <c r="I14" s="27">
        <v>0.0193</v>
      </c>
    </row>
    <row r="15">
      <c r="A15" s="26" t="s">
        <v>812</v>
      </c>
      <c r="B15" s="28">
        <f t="shared" ref="B15:I15" si="2">B16-(SUM(B11:B14))</f>
        <v>0.0082</v>
      </c>
      <c r="C15" s="28">
        <f t="shared" si="2"/>
        <v>0.0081</v>
      </c>
      <c r="D15" s="28">
        <f t="shared" si="2"/>
        <v>0.008</v>
      </c>
      <c r="E15" s="28">
        <f t="shared" si="2"/>
        <v>0.0087</v>
      </c>
      <c r="F15" s="28">
        <f t="shared" si="2"/>
        <v>0.0088</v>
      </c>
      <c r="G15" s="28">
        <f t="shared" si="2"/>
        <v>0.0089</v>
      </c>
      <c r="H15" s="28">
        <f t="shared" si="2"/>
        <v>0.0095</v>
      </c>
      <c r="I15" s="28">
        <f t="shared" si="2"/>
        <v>0.0093</v>
      </c>
    </row>
    <row r="16">
      <c r="A16" s="29" t="s">
        <v>813</v>
      </c>
      <c r="B16" s="30">
        <v>0.085</v>
      </c>
      <c r="C16" s="30">
        <v>0.081</v>
      </c>
      <c r="D16" s="30">
        <v>0.0791</v>
      </c>
      <c r="E16" s="30">
        <v>0.0825</v>
      </c>
      <c r="F16" s="30">
        <v>0.0803</v>
      </c>
      <c r="G16" s="30">
        <v>0.078</v>
      </c>
      <c r="H16" s="30">
        <v>0.0753</v>
      </c>
      <c r="I16" s="30">
        <v>0.0775</v>
      </c>
    </row>
    <row r="17">
      <c r="A17" s="31"/>
      <c r="B17" s="12"/>
      <c r="C17" s="12"/>
      <c r="D17" s="12"/>
      <c r="E17" s="12"/>
      <c r="F17" s="12"/>
      <c r="G17" s="12"/>
      <c r="H17" s="12"/>
      <c r="I17" s="12"/>
    </row>
    <row r="18">
      <c r="A18" s="21" t="s">
        <v>814</v>
      </c>
      <c r="B18" s="22">
        <v>1.0</v>
      </c>
      <c r="C18" s="22">
        <v>1.0</v>
      </c>
      <c r="D18" s="22">
        <v>1.0</v>
      </c>
      <c r="E18" s="22">
        <v>1.0</v>
      </c>
      <c r="F18" s="22">
        <v>1.0</v>
      </c>
      <c r="G18" s="22">
        <v>1.0</v>
      </c>
      <c r="H18" s="22">
        <v>1.0</v>
      </c>
      <c r="I18" s="22">
        <v>1.0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</cols>
  <sheetData>
    <row r="1">
      <c r="A1" s="32" t="s">
        <v>794</v>
      </c>
      <c r="B1" s="19">
        <v>45382.0</v>
      </c>
      <c r="C1" s="19">
        <v>45473.0</v>
      </c>
      <c r="D1" s="19">
        <v>45565.0</v>
      </c>
      <c r="E1" s="20">
        <v>45657.0</v>
      </c>
      <c r="F1" s="20">
        <v>45747.0</v>
      </c>
      <c r="G1" s="20">
        <v>45838.0</v>
      </c>
      <c r="H1" s="20">
        <v>45930.0</v>
      </c>
      <c r="I1" s="20">
        <v>46022.0</v>
      </c>
    </row>
    <row r="2">
      <c r="A2" s="32" t="s">
        <v>795</v>
      </c>
      <c r="B2" s="33">
        <v>12727.0</v>
      </c>
      <c r="C2" s="33">
        <v>14069.0</v>
      </c>
      <c r="D2" s="33">
        <v>14444.0</v>
      </c>
      <c r="E2" s="33">
        <v>15973.0</v>
      </c>
      <c r="F2" s="33">
        <v>14872.0</v>
      </c>
      <c r="G2" s="33">
        <v>16360.0</v>
      </c>
      <c r="H2" s="33">
        <v>16676.0</v>
      </c>
      <c r="I2" s="33">
        <v>18101.0</v>
      </c>
    </row>
    <row r="3">
      <c r="A3" s="34" t="s">
        <v>815</v>
      </c>
      <c r="B3" s="35"/>
      <c r="C3" s="36">
        <f t="shared" ref="C3:I3" si="1">((C2-B2)/C2)</f>
        <v>0.09538702111</v>
      </c>
      <c r="D3" s="36">
        <f t="shared" si="1"/>
        <v>0.0259623373</v>
      </c>
      <c r="E3" s="36">
        <f t="shared" si="1"/>
        <v>0.09572403431</v>
      </c>
      <c r="F3" s="36">
        <f t="shared" si="1"/>
        <v>-0.07403173749</v>
      </c>
      <c r="G3" s="36">
        <f t="shared" si="1"/>
        <v>0.09095354523</v>
      </c>
      <c r="H3" s="36">
        <f t="shared" si="1"/>
        <v>0.01894938834</v>
      </c>
      <c r="I3" s="36">
        <f t="shared" si="1"/>
        <v>0.07872493232</v>
      </c>
    </row>
    <row r="4">
      <c r="A4" s="32" t="s">
        <v>816</v>
      </c>
      <c r="B4" s="33">
        <v>11783.0</v>
      </c>
      <c r="C4" s="33">
        <v>12848.0</v>
      </c>
      <c r="D4" s="33">
        <v>13351.0</v>
      </c>
      <c r="E4" s="33">
        <v>14755.0</v>
      </c>
      <c r="F4" s="33">
        <v>13917.0</v>
      </c>
      <c r="G4" s="33">
        <v>15061.0</v>
      </c>
      <c r="H4" s="33">
        <v>15463.0</v>
      </c>
      <c r="I4" s="33">
        <v>16638.0</v>
      </c>
    </row>
    <row r="5">
      <c r="A5" s="32" t="s">
        <v>797</v>
      </c>
      <c r="B5" s="37">
        <f t="shared" ref="B5:I5" si="2">B2-B4</f>
        <v>944</v>
      </c>
      <c r="C5" s="37">
        <f t="shared" si="2"/>
        <v>1221</v>
      </c>
      <c r="D5" s="37">
        <f t="shared" si="2"/>
        <v>1093</v>
      </c>
      <c r="E5" s="37">
        <f t="shared" si="2"/>
        <v>1218</v>
      </c>
      <c r="F5" s="37">
        <f t="shared" si="2"/>
        <v>955</v>
      </c>
      <c r="G5" s="37">
        <f t="shared" si="2"/>
        <v>1299</v>
      </c>
      <c r="H5" s="37">
        <f t="shared" si="2"/>
        <v>1213</v>
      </c>
      <c r="I5" s="37">
        <f t="shared" si="2"/>
        <v>1463</v>
      </c>
    </row>
    <row r="6">
      <c r="A6" s="34" t="s">
        <v>798</v>
      </c>
      <c r="B6" s="38">
        <v>0.07</v>
      </c>
      <c r="C6" s="38">
        <v>0.09</v>
      </c>
      <c r="D6" s="38">
        <v>0.08</v>
      </c>
      <c r="E6" s="38">
        <v>0.08</v>
      </c>
      <c r="F6" s="38">
        <v>0.06</v>
      </c>
      <c r="G6" s="38">
        <v>0.08</v>
      </c>
      <c r="H6" s="38">
        <v>0.07</v>
      </c>
      <c r="I6" s="38">
        <v>0.08</v>
      </c>
    </row>
    <row r="7">
      <c r="A7" s="32" t="s">
        <v>817</v>
      </c>
      <c r="B7" s="39">
        <v>205.0</v>
      </c>
      <c r="C7" s="39">
        <v>193.0</v>
      </c>
      <c r="D7" s="39">
        <v>208.0</v>
      </c>
      <c r="E7" s="39">
        <v>228.0</v>
      </c>
      <c r="F7" s="39">
        <v>241.0</v>
      </c>
      <c r="G7" s="39">
        <v>232.0</v>
      </c>
      <c r="H7" s="39">
        <v>253.0</v>
      </c>
      <c r="I7" s="39">
        <v>268.0</v>
      </c>
    </row>
    <row r="8">
      <c r="A8" s="32" t="s">
        <v>818</v>
      </c>
      <c r="B8" s="37">
        <f t="shared" ref="B8:I8" si="3">B5-B7</f>
        <v>739</v>
      </c>
      <c r="C8" s="37">
        <f t="shared" si="3"/>
        <v>1028</v>
      </c>
      <c r="D8" s="37">
        <f t="shared" si="3"/>
        <v>885</v>
      </c>
      <c r="E8" s="37">
        <f t="shared" si="3"/>
        <v>990</v>
      </c>
      <c r="F8" s="37">
        <f t="shared" si="3"/>
        <v>714</v>
      </c>
      <c r="G8" s="37">
        <f t="shared" si="3"/>
        <v>1067</v>
      </c>
      <c r="H8" s="37">
        <f t="shared" si="3"/>
        <v>960</v>
      </c>
      <c r="I8" s="37">
        <f t="shared" si="3"/>
        <v>1195</v>
      </c>
    </row>
    <row r="9">
      <c r="A9" s="34" t="s">
        <v>819</v>
      </c>
      <c r="B9" s="36">
        <f t="shared" ref="B9:I9" si="4">B8/B2</f>
        <v>0.05806552998</v>
      </c>
      <c r="C9" s="36">
        <f t="shared" si="4"/>
        <v>0.07306844836</v>
      </c>
      <c r="D9" s="36">
        <f t="shared" si="4"/>
        <v>0.06127111603</v>
      </c>
      <c r="E9" s="36">
        <f t="shared" si="4"/>
        <v>0.06197959056</v>
      </c>
      <c r="F9" s="36">
        <f t="shared" si="4"/>
        <v>0.04800968263</v>
      </c>
      <c r="G9" s="36">
        <f t="shared" si="4"/>
        <v>0.0652200489</v>
      </c>
      <c r="H9" s="36">
        <f t="shared" si="4"/>
        <v>0.05756776205</v>
      </c>
      <c r="I9" s="36">
        <f t="shared" si="4"/>
        <v>0.06601845202</v>
      </c>
    </row>
    <row r="10">
      <c r="A10" s="32" t="s">
        <v>820</v>
      </c>
      <c r="B10" s="39">
        <v>13.0</v>
      </c>
      <c r="C10" s="39">
        <v>16.0</v>
      </c>
      <c r="D10" s="39">
        <v>16.0</v>
      </c>
      <c r="E10" s="39">
        <v>18.0</v>
      </c>
      <c r="F10" s="39">
        <v>19.0</v>
      </c>
      <c r="G10" s="39">
        <v>29.0</v>
      </c>
      <c r="H10" s="39">
        <v>35.0</v>
      </c>
      <c r="I10" s="39">
        <v>37.0</v>
      </c>
    </row>
    <row r="11">
      <c r="A11" s="32" t="s">
        <v>821</v>
      </c>
      <c r="B11" s="37">
        <f t="shared" ref="B11:I11" si="5">B8-B10</f>
        <v>726</v>
      </c>
      <c r="C11" s="37">
        <f t="shared" si="5"/>
        <v>1012</v>
      </c>
      <c r="D11" s="37">
        <f t="shared" si="5"/>
        <v>869</v>
      </c>
      <c r="E11" s="37">
        <f t="shared" si="5"/>
        <v>972</v>
      </c>
      <c r="F11" s="37">
        <f t="shared" si="5"/>
        <v>695</v>
      </c>
      <c r="G11" s="37">
        <f t="shared" si="5"/>
        <v>1038</v>
      </c>
      <c r="H11" s="37">
        <f t="shared" si="5"/>
        <v>925</v>
      </c>
      <c r="I11" s="37">
        <f t="shared" si="5"/>
        <v>1158</v>
      </c>
    </row>
    <row r="12">
      <c r="A12" s="32" t="s">
        <v>822</v>
      </c>
      <c r="B12" s="39">
        <v>38.0</v>
      </c>
      <c r="C12" s="39">
        <v>42.0</v>
      </c>
      <c r="D12" s="39">
        <v>34.0</v>
      </c>
      <c r="E12" s="39">
        <v>24.0</v>
      </c>
      <c r="F12" s="39">
        <v>25.0</v>
      </c>
      <c r="G12" s="39">
        <v>19.0</v>
      </c>
      <c r="H12" s="39">
        <v>20.0</v>
      </c>
      <c r="I12" s="39">
        <v>17.0</v>
      </c>
    </row>
    <row r="13">
      <c r="A13" s="32" t="s">
        <v>823</v>
      </c>
      <c r="B13" s="37">
        <f t="shared" ref="B13:I13" si="6">B12+B11</f>
        <v>764</v>
      </c>
      <c r="C13" s="37">
        <f t="shared" si="6"/>
        <v>1054</v>
      </c>
      <c r="D13" s="37">
        <f t="shared" si="6"/>
        <v>903</v>
      </c>
      <c r="E13" s="37">
        <f t="shared" si="6"/>
        <v>996</v>
      </c>
      <c r="F13" s="37">
        <f t="shared" si="6"/>
        <v>720</v>
      </c>
      <c r="G13" s="37">
        <f t="shared" si="6"/>
        <v>1057</v>
      </c>
      <c r="H13" s="37">
        <f t="shared" si="6"/>
        <v>945</v>
      </c>
      <c r="I13" s="37">
        <f t="shared" si="6"/>
        <v>1175</v>
      </c>
    </row>
    <row r="14">
      <c r="A14" s="32" t="s">
        <v>824</v>
      </c>
      <c r="B14" s="37">
        <f t="shared" ref="B14:I14" si="7">B13-B15</f>
        <v>201</v>
      </c>
      <c r="C14" s="37">
        <f t="shared" si="7"/>
        <v>280</v>
      </c>
      <c r="D14" s="37">
        <f t="shared" si="7"/>
        <v>244</v>
      </c>
      <c r="E14" s="37">
        <f t="shared" si="7"/>
        <v>272</v>
      </c>
      <c r="F14" s="37">
        <f t="shared" si="7"/>
        <v>169</v>
      </c>
      <c r="G14" s="37">
        <f t="shared" si="7"/>
        <v>284</v>
      </c>
      <c r="H14" s="37">
        <f t="shared" si="7"/>
        <v>260</v>
      </c>
      <c r="I14" s="37">
        <f t="shared" si="7"/>
        <v>319</v>
      </c>
    </row>
    <row r="15">
      <c r="A15" s="32" t="s">
        <v>799</v>
      </c>
      <c r="B15" s="39">
        <v>563.0</v>
      </c>
      <c r="C15" s="39">
        <v>774.0</v>
      </c>
      <c r="D15" s="39">
        <v>659.0</v>
      </c>
      <c r="E15" s="39">
        <v>724.0</v>
      </c>
      <c r="F15" s="39">
        <v>551.0</v>
      </c>
      <c r="G15" s="39">
        <v>773.0</v>
      </c>
      <c r="H15" s="39">
        <v>685.0</v>
      </c>
      <c r="I15" s="39">
        <v>856.0</v>
      </c>
    </row>
    <row r="16">
      <c r="A16" s="34" t="s">
        <v>800</v>
      </c>
      <c r="B16" s="35"/>
      <c r="C16" s="36">
        <f t="shared" ref="C16:I16" si="8">((C15-B15)/C15)</f>
        <v>0.2726098191</v>
      </c>
      <c r="D16" s="36">
        <f t="shared" si="8"/>
        <v>-0.1745068285</v>
      </c>
      <c r="E16" s="36">
        <f t="shared" si="8"/>
        <v>0.08977900552</v>
      </c>
      <c r="F16" s="36">
        <f t="shared" si="8"/>
        <v>-0.3139745917</v>
      </c>
      <c r="G16" s="36">
        <f t="shared" si="8"/>
        <v>0.2871927555</v>
      </c>
      <c r="H16" s="36">
        <f t="shared" si="8"/>
        <v>-0.1284671533</v>
      </c>
      <c r="I16" s="36">
        <f t="shared" si="8"/>
        <v>0.1997663551</v>
      </c>
    </row>
    <row r="17">
      <c r="A17" s="32" t="s">
        <v>801</v>
      </c>
      <c r="B17" s="39">
        <v>8.66</v>
      </c>
      <c r="C17" s="39">
        <v>11.89</v>
      </c>
      <c r="D17" s="39">
        <v>10.14</v>
      </c>
      <c r="E17" s="39">
        <v>11.12</v>
      </c>
      <c r="F17" s="39">
        <v>8.47</v>
      </c>
      <c r="G17" s="39">
        <v>11.88</v>
      </c>
      <c r="H17" s="39">
        <v>10.53</v>
      </c>
      <c r="I17" s="39">
        <v>13.15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</cols>
  <sheetData>
    <row r="1">
      <c r="A1" s="32" t="s">
        <v>794</v>
      </c>
      <c r="B1" s="40">
        <v>42795.0</v>
      </c>
      <c r="C1" s="40">
        <v>43160.0</v>
      </c>
      <c r="D1" s="40">
        <v>43525.0</v>
      </c>
      <c r="E1" s="41">
        <v>43891.0</v>
      </c>
      <c r="F1" s="41">
        <v>44256.0</v>
      </c>
      <c r="G1" s="41">
        <v>44621.0</v>
      </c>
      <c r="H1" s="41">
        <v>44986.0</v>
      </c>
      <c r="I1" s="41">
        <v>45352.0</v>
      </c>
      <c r="J1" s="42">
        <v>45717.0</v>
      </c>
      <c r="K1" s="43"/>
    </row>
    <row r="2">
      <c r="A2" s="32" t="s">
        <v>795</v>
      </c>
      <c r="B2" s="33">
        <v>11898.0</v>
      </c>
      <c r="C2" s="33">
        <v>15033.0</v>
      </c>
      <c r="D2" s="33">
        <v>20005.0</v>
      </c>
      <c r="E2" s="33">
        <v>24870.0</v>
      </c>
      <c r="F2" s="33">
        <v>24143.0</v>
      </c>
      <c r="G2" s="33">
        <v>30976.0</v>
      </c>
      <c r="H2" s="33">
        <v>42840.0</v>
      </c>
      <c r="I2" s="33">
        <v>50789.0</v>
      </c>
      <c r="J2" s="33">
        <v>59358.0</v>
      </c>
    </row>
    <row r="3">
      <c r="A3" s="34" t="s">
        <v>796</v>
      </c>
      <c r="B3" s="35"/>
      <c r="C3" s="36">
        <f t="shared" ref="C3:J3" si="1">((C2-B2)/C2)</f>
        <v>0.2085412093</v>
      </c>
      <c r="D3" s="36">
        <f t="shared" si="1"/>
        <v>0.2485378655</v>
      </c>
      <c r="E3" s="36">
        <f t="shared" si="1"/>
        <v>0.1956172095</v>
      </c>
      <c r="F3" s="36">
        <f t="shared" si="1"/>
        <v>-0.03011224786</v>
      </c>
      <c r="G3" s="36">
        <f t="shared" si="1"/>
        <v>0.2205901343</v>
      </c>
      <c r="H3" s="36">
        <f t="shared" si="1"/>
        <v>0.2769374416</v>
      </c>
      <c r="I3" s="36">
        <f t="shared" si="1"/>
        <v>0.156510268</v>
      </c>
      <c r="J3" s="36">
        <f t="shared" si="1"/>
        <v>0.1443613329</v>
      </c>
    </row>
    <row r="4">
      <c r="A4" s="32" t="s">
        <v>816</v>
      </c>
      <c r="B4" s="33">
        <v>10929.0</v>
      </c>
      <c r="C4" s="33">
        <v>13680.0</v>
      </c>
      <c r="D4" s="33">
        <v>18371.0</v>
      </c>
      <c r="E4" s="33">
        <v>22742.0</v>
      </c>
      <c r="F4" s="33">
        <v>22398.0</v>
      </c>
      <c r="G4" s="33">
        <v>28474.0</v>
      </c>
      <c r="H4" s="33">
        <v>39201.0</v>
      </c>
      <c r="I4" s="33">
        <v>46683.0</v>
      </c>
      <c r="J4" s="33">
        <v>54864.0</v>
      </c>
    </row>
    <row r="5">
      <c r="A5" s="32" t="s">
        <v>797</v>
      </c>
      <c r="B5" s="37">
        <f t="shared" ref="B5:J5" si="2">B2-B4</f>
        <v>969</v>
      </c>
      <c r="C5" s="37">
        <f t="shared" si="2"/>
        <v>1353</v>
      </c>
      <c r="D5" s="37">
        <f t="shared" si="2"/>
        <v>1634</v>
      </c>
      <c r="E5" s="37">
        <f t="shared" si="2"/>
        <v>2128</v>
      </c>
      <c r="F5" s="37">
        <f t="shared" si="2"/>
        <v>1745</v>
      </c>
      <c r="G5" s="37">
        <f t="shared" si="2"/>
        <v>2502</v>
      </c>
      <c r="H5" s="37">
        <f t="shared" si="2"/>
        <v>3639</v>
      </c>
      <c r="I5" s="37">
        <f t="shared" si="2"/>
        <v>4106</v>
      </c>
      <c r="J5" s="37">
        <f t="shared" si="2"/>
        <v>4494</v>
      </c>
    </row>
    <row r="6">
      <c r="A6" s="34" t="s">
        <v>798</v>
      </c>
      <c r="B6" s="38">
        <v>0.08</v>
      </c>
      <c r="C6" s="38">
        <v>0.09</v>
      </c>
      <c r="D6" s="38">
        <v>0.08</v>
      </c>
      <c r="E6" s="38">
        <v>0.09</v>
      </c>
      <c r="F6" s="38">
        <v>0.07</v>
      </c>
      <c r="G6" s="38">
        <v>0.08</v>
      </c>
      <c r="H6" s="38">
        <v>0.08</v>
      </c>
      <c r="I6" s="38">
        <v>0.08</v>
      </c>
      <c r="J6" s="38">
        <v>0.08</v>
      </c>
      <c r="K6" s="44"/>
    </row>
    <row r="7">
      <c r="A7" s="32" t="s">
        <v>817</v>
      </c>
      <c r="B7" s="39">
        <v>128.0</v>
      </c>
      <c r="C7" s="39">
        <v>159.0</v>
      </c>
      <c r="D7" s="39">
        <v>212.0</v>
      </c>
      <c r="E7" s="39">
        <v>374.0</v>
      </c>
      <c r="F7" s="39">
        <v>414.0</v>
      </c>
      <c r="G7" s="39">
        <v>498.0</v>
      </c>
      <c r="H7" s="39">
        <v>639.0</v>
      </c>
      <c r="I7" s="39">
        <v>731.0</v>
      </c>
      <c r="J7" s="39">
        <v>870.0</v>
      </c>
    </row>
    <row r="8">
      <c r="A8" s="32" t="s">
        <v>818</v>
      </c>
      <c r="B8" s="37">
        <f t="shared" ref="B8:J8" si="3">B5-B7</f>
        <v>841</v>
      </c>
      <c r="C8" s="37">
        <f t="shared" si="3"/>
        <v>1194</v>
      </c>
      <c r="D8" s="37">
        <f t="shared" si="3"/>
        <v>1422</v>
      </c>
      <c r="E8" s="37">
        <f t="shared" si="3"/>
        <v>1754</v>
      </c>
      <c r="F8" s="37">
        <f t="shared" si="3"/>
        <v>1331</v>
      </c>
      <c r="G8" s="37">
        <f t="shared" si="3"/>
        <v>2004</v>
      </c>
      <c r="H8" s="37">
        <f t="shared" si="3"/>
        <v>3000</v>
      </c>
      <c r="I8" s="37">
        <f t="shared" si="3"/>
        <v>3375</v>
      </c>
      <c r="J8" s="37">
        <f t="shared" si="3"/>
        <v>3624</v>
      </c>
    </row>
    <row r="9">
      <c r="A9" s="34" t="s">
        <v>819</v>
      </c>
      <c r="B9" s="36">
        <f t="shared" ref="B9:J9" si="4">B8/B2</f>
        <v>0.0706841486</v>
      </c>
      <c r="C9" s="36">
        <f t="shared" si="4"/>
        <v>0.07942526442</v>
      </c>
      <c r="D9" s="36">
        <f t="shared" si="4"/>
        <v>0.07108222944</v>
      </c>
      <c r="E9" s="36">
        <f t="shared" si="4"/>
        <v>0.07052673904</v>
      </c>
      <c r="F9" s="36">
        <f t="shared" si="4"/>
        <v>0.0551298513</v>
      </c>
      <c r="G9" s="36">
        <f t="shared" si="4"/>
        <v>0.06469524793</v>
      </c>
      <c r="H9" s="36">
        <f t="shared" si="4"/>
        <v>0.0700280112</v>
      </c>
      <c r="I9" s="36">
        <f t="shared" si="4"/>
        <v>0.06645139696</v>
      </c>
      <c r="J9" s="36">
        <f t="shared" si="4"/>
        <v>0.06105326999</v>
      </c>
    </row>
    <row r="10">
      <c r="A10" s="32" t="s">
        <v>820</v>
      </c>
      <c r="B10" s="39">
        <v>122.0</v>
      </c>
      <c r="C10" s="39">
        <v>60.0</v>
      </c>
      <c r="D10" s="39">
        <v>47.0</v>
      </c>
      <c r="E10" s="39">
        <v>69.0</v>
      </c>
      <c r="F10" s="39">
        <v>42.0</v>
      </c>
      <c r="G10" s="39">
        <v>54.0</v>
      </c>
      <c r="H10" s="39">
        <v>67.0</v>
      </c>
      <c r="I10" s="39">
        <v>58.0</v>
      </c>
      <c r="J10" s="39">
        <v>69.0</v>
      </c>
    </row>
    <row r="11">
      <c r="A11" s="32" t="s">
        <v>821</v>
      </c>
      <c r="B11" s="37">
        <f t="shared" ref="B11:J11" si="5">B8-B10</f>
        <v>719</v>
      </c>
      <c r="C11" s="37">
        <f t="shared" si="5"/>
        <v>1134</v>
      </c>
      <c r="D11" s="37">
        <f t="shared" si="5"/>
        <v>1375</v>
      </c>
      <c r="E11" s="37">
        <f t="shared" si="5"/>
        <v>1685</v>
      </c>
      <c r="F11" s="37">
        <f t="shared" si="5"/>
        <v>1289</v>
      </c>
      <c r="G11" s="37">
        <f t="shared" si="5"/>
        <v>1950</v>
      </c>
      <c r="H11" s="37">
        <f t="shared" si="5"/>
        <v>2933</v>
      </c>
      <c r="I11" s="37">
        <f t="shared" si="5"/>
        <v>3317</v>
      </c>
      <c r="J11" s="37">
        <f t="shared" si="5"/>
        <v>3555</v>
      </c>
    </row>
    <row r="12">
      <c r="A12" s="32" t="s">
        <v>822</v>
      </c>
      <c r="B12" s="39">
        <v>28.0</v>
      </c>
      <c r="C12" s="39">
        <v>88.0</v>
      </c>
      <c r="D12" s="39">
        <v>48.0</v>
      </c>
      <c r="E12" s="39">
        <v>60.0</v>
      </c>
      <c r="F12" s="39">
        <v>194.0</v>
      </c>
      <c r="G12" s="39">
        <v>114.0</v>
      </c>
      <c r="H12" s="39">
        <v>128.0</v>
      </c>
      <c r="I12" s="39">
        <v>145.0</v>
      </c>
      <c r="J12" s="39">
        <v>117.0</v>
      </c>
    </row>
    <row r="13">
      <c r="A13" s="32" t="s">
        <v>823</v>
      </c>
      <c r="B13" s="37">
        <f t="shared" ref="B13:J13" si="6">B11+B12</f>
        <v>747</v>
      </c>
      <c r="C13" s="37">
        <f t="shared" si="6"/>
        <v>1222</v>
      </c>
      <c r="D13" s="37">
        <f t="shared" si="6"/>
        <v>1423</v>
      </c>
      <c r="E13" s="37">
        <f t="shared" si="6"/>
        <v>1745</v>
      </c>
      <c r="F13" s="37">
        <f t="shared" si="6"/>
        <v>1483</v>
      </c>
      <c r="G13" s="37">
        <f t="shared" si="6"/>
        <v>2064</v>
      </c>
      <c r="H13" s="37">
        <f t="shared" si="6"/>
        <v>3061</v>
      </c>
      <c r="I13" s="37">
        <f t="shared" si="6"/>
        <v>3462</v>
      </c>
      <c r="J13" s="37">
        <f t="shared" si="6"/>
        <v>3672</v>
      </c>
    </row>
    <row r="14">
      <c r="A14" s="32" t="s">
        <v>824</v>
      </c>
      <c r="B14" s="37">
        <f t="shared" ref="B14:J14" si="7">B13-B15</f>
        <v>268</v>
      </c>
      <c r="C14" s="37">
        <f t="shared" si="7"/>
        <v>416</v>
      </c>
      <c r="D14" s="37">
        <f t="shared" si="7"/>
        <v>521</v>
      </c>
      <c r="E14" s="37">
        <f t="shared" si="7"/>
        <v>444</v>
      </c>
      <c r="F14" s="37">
        <f t="shared" si="7"/>
        <v>384</v>
      </c>
      <c r="G14" s="37">
        <f t="shared" si="7"/>
        <v>572</v>
      </c>
      <c r="H14" s="37">
        <f t="shared" si="7"/>
        <v>683</v>
      </c>
      <c r="I14" s="37">
        <f t="shared" si="7"/>
        <v>926</v>
      </c>
      <c r="J14" s="37">
        <f t="shared" si="7"/>
        <v>965</v>
      </c>
    </row>
    <row r="15">
      <c r="A15" s="32" t="s">
        <v>799</v>
      </c>
      <c r="B15" s="39">
        <v>479.0</v>
      </c>
      <c r="C15" s="39">
        <v>806.0</v>
      </c>
      <c r="D15" s="39">
        <v>902.0</v>
      </c>
      <c r="E15" s="33">
        <v>1301.0</v>
      </c>
      <c r="F15" s="33">
        <v>1099.0</v>
      </c>
      <c r="G15" s="33">
        <v>1492.0</v>
      </c>
      <c r="H15" s="33">
        <v>2378.0</v>
      </c>
      <c r="I15" s="33">
        <v>2536.0</v>
      </c>
      <c r="J15" s="33">
        <v>2707.0</v>
      </c>
      <c r="K15" s="45"/>
    </row>
    <row r="16">
      <c r="A16" s="34" t="s">
        <v>800</v>
      </c>
      <c r="B16" s="46"/>
      <c r="C16" s="36">
        <f t="shared" ref="C16:J16" si="8">((C15-B15)/C15)</f>
        <v>0.405707196</v>
      </c>
      <c r="D16" s="36">
        <f t="shared" si="8"/>
        <v>0.1064301552</v>
      </c>
      <c r="E16" s="36">
        <f t="shared" si="8"/>
        <v>0.3066871637</v>
      </c>
      <c r="F16" s="36">
        <f t="shared" si="8"/>
        <v>-0.1838034577</v>
      </c>
      <c r="G16" s="36">
        <f t="shared" si="8"/>
        <v>0.2634048257</v>
      </c>
      <c r="H16" s="36">
        <f t="shared" si="8"/>
        <v>0.3725820017</v>
      </c>
      <c r="I16" s="36">
        <f t="shared" si="8"/>
        <v>0.06230283912</v>
      </c>
      <c r="J16" s="36">
        <f t="shared" si="8"/>
        <v>0.0631695604</v>
      </c>
    </row>
    <row r="17">
      <c r="A17" s="32" t="s">
        <v>801</v>
      </c>
      <c r="B17" s="39">
        <v>7.67</v>
      </c>
      <c r="C17" s="39">
        <v>12.92</v>
      </c>
      <c r="D17" s="39">
        <v>14.46</v>
      </c>
      <c r="E17" s="39">
        <v>20.09</v>
      </c>
      <c r="F17" s="39">
        <v>16.97</v>
      </c>
      <c r="G17" s="39">
        <v>23.04</v>
      </c>
      <c r="H17" s="39">
        <v>36.69</v>
      </c>
      <c r="I17" s="39">
        <v>38.97</v>
      </c>
      <c r="J17" s="39">
        <v>41.61</v>
      </c>
    </row>
    <row r="22">
      <c r="C22" s="47"/>
      <c r="D22" s="48"/>
    </row>
    <row r="23">
      <c r="C23" s="49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</cols>
  <sheetData>
    <row r="1">
      <c r="A1" s="32" t="s">
        <v>794</v>
      </c>
      <c r="B1" s="40">
        <v>42795.0</v>
      </c>
      <c r="C1" s="40">
        <v>43160.0</v>
      </c>
      <c r="D1" s="40">
        <v>43525.0</v>
      </c>
      <c r="E1" s="41">
        <v>43891.0</v>
      </c>
      <c r="F1" s="41">
        <v>44256.0</v>
      </c>
      <c r="G1" s="41">
        <v>44621.0</v>
      </c>
      <c r="H1" s="41">
        <v>44986.0</v>
      </c>
      <c r="I1" s="41">
        <v>45352.0</v>
      </c>
      <c r="J1" s="42">
        <v>45717.0</v>
      </c>
      <c r="K1" s="41">
        <v>46082.0</v>
      </c>
      <c r="L1" s="41">
        <v>46447.0</v>
      </c>
    </row>
    <row r="2">
      <c r="A2" s="32" t="s">
        <v>795</v>
      </c>
      <c r="B2" s="33">
        <v>11898.0</v>
      </c>
      <c r="C2" s="33">
        <v>15033.0</v>
      </c>
      <c r="D2" s="33">
        <v>20005.0</v>
      </c>
      <c r="E2" s="33">
        <v>24870.0</v>
      </c>
      <c r="F2" s="33">
        <v>24143.0</v>
      </c>
      <c r="G2" s="33">
        <v>30976.0</v>
      </c>
      <c r="H2" s="33">
        <v>42840.0</v>
      </c>
      <c r="I2" s="33">
        <v>50789.0</v>
      </c>
      <c r="J2" s="33">
        <v>59358.0</v>
      </c>
      <c r="K2" s="33">
        <v>68454.0</v>
      </c>
      <c r="L2" s="33">
        <v>80280.0</v>
      </c>
    </row>
    <row r="3">
      <c r="A3" s="34" t="s">
        <v>796</v>
      </c>
      <c r="B3" s="35"/>
      <c r="C3" s="36">
        <f t="shared" ref="C3:L3" si="1">((C2-B2)/C2)</f>
        <v>0.2085412093</v>
      </c>
      <c r="D3" s="36">
        <f t="shared" si="1"/>
        <v>0.2485378655</v>
      </c>
      <c r="E3" s="36">
        <f t="shared" si="1"/>
        <v>0.1956172095</v>
      </c>
      <c r="F3" s="36">
        <f t="shared" si="1"/>
        <v>-0.03011224786</v>
      </c>
      <c r="G3" s="36">
        <f t="shared" si="1"/>
        <v>0.2205901343</v>
      </c>
      <c r="H3" s="36">
        <f t="shared" si="1"/>
        <v>0.2769374416</v>
      </c>
      <c r="I3" s="36">
        <f t="shared" si="1"/>
        <v>0.156510268</v>
      </c>
      <c r="J3" s="36">
        <f t="shared" si="1"/>
        <v>0.1443613329</v>
      </c>
      <c r="K3" s="36">
        <f t="shared" si="1"/>
        <v>0.1328775528</v>
      </c>
      <c r="L3" s="36">
        <f t="shared" si="1"/>
        <v>0.147309417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</cols>
  <sheetData>
    <row r="1">
      <c r="A1" s="32" t="s">
        <v>794</v>
      </c>
      <c r="B1" s="40">
        <v>43525.0</v>
      </c>
      <c r="C1" s="41">
        <v>43891.0</v>
      </c>
      <c r="D1" s="41">
        <v>44256.0</v>
      </c>
      <c r="E1" s="41">
        <v>44621.0</v>
      </c>
      <c r="F1" s="41">
        <v>44986.0</v>
      </c>
      <c r="G1" s="41">
        <v>45352.0</v>
      </c>
      <c r="H1" s="42">
        <v>45717.0</v>
      </c>
    </row>
    <row r="2">
      <c r="A2" s="7" t="s">
        <v>795</v>
      </c>
      <c r="B2" s="33">
        <v>20005.0</v>
      </c>
      <c r="C2" s="10">
        <v>24870.0</v>
      </c>
      <c r="D2" s="10">
        <v>24143.0</v>
      </c>
      <c r="E2" s="10">
        <v>30976.0</v>
      </c>
      <c r="F2" s="10">
        <v>42840.0</v>
      </c>
      <c r="G2" s="10">
        <v>50789.0</v>
      </c>
      <c r="H2" s="10">
        <v>59358.0</v>
      </c>
    </row>
    <row r="3">
      <c r="A3" s="7" t="s">
        <v>825</v>
      </c>
      <c r="B3" s="33">
        <v>17000.84</v>
      </c>
      <c r="C3" s="33">
        <v>21102.93</v>
      </c>
      <c r="D3" s="33">
        <v>20554.68</v>
      </c>
      <c r="E3" s="33">
        <v>26407.39</v>
      </c>
      <c r="F3" s="33">
        <v>36383.95</v>
      </c>
      <c r="G3" s="33">
        <v>43274.54</v>
      </c>
      <c r="H3" s="33">
        <v>50551.7</v>
      </c>
    </row>
    <row r="4">
      <c r="A4" s="7" t="s">
        <v>826</v>
      </c>
      <c r="B4" s="18">
        <f t="shared" ref="B4:H4" si="1">B2-B3</f>
        <v>3004.16</v>
      </c>
      <c r="C4" s="18">
        <f t="shared" si="1"/>
        <v>3767.07</v>
      </c>
      <c r="D4" s="18">
        <f t="shared" si="1"/>
        <v>3588.32</v>
      </c>
      <c r="E4" s="18">
        <f t="shared" si="1"/>
        <v>4568.61</v>
      </c>
      <c r="F4" s="18">
        <f t="shared" si="1"/>
        <v>6456.05</v>
      </c>
      <c r="G4" s="18">
        <f t="shared" si="1"/>
        <v>7514.46</v>
      </c>
      <c r="H4" s="18">
        <f t="shared" si="1"/>
        <v>8806.3</v>
      </c>
    </row>
    <row r="5">
      <c r="A5" s="7" t="s">
        <v>827</v>
      </c>
      <c r="B5" s="12">
        <f t="shared" ref="B5:H5" si="2">B4/B2</f>
        <v>0.1501704574</v>
      </c>
      <c r="C5" s="12">
        <f t="shared" si="2"/>
        <v>0.1514704463</v>
      </c>
      <c r="D5" s="12">
        <f t="shared" si="2"/>
        <v>0.1486277596</v>
      </c>
      <c r="E5" s="12">
        <f t="shared" si="2"/>
        <v>0.1474887009</v>
      </c>
      <c r="F5" s="12">
        <f t="shared" si="2"/>
        <v>0.1507014472</v>
      </c>
      <c r="G5" s="12">
        <f t="shared" si="2"/>
        <v>0.1479544783</v>
      </c>
      <c r="H5" s="12">
        <f t="shared" si="2"/>
        <v>0.1483591091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0"/>
  </cols>
  <sheetData>
    <row r="1">
      <c r="A1" s="32" t="s">
        <v>794</v>
      </c>
      <c r="B1" s="40">
        <v>43525.0</v>
      </c>
      <c r="C1" s="41">
        <v>43891.0</v>
      </c>
      <c r="D1" s="41">
        <v>44256.0</v>
      </c>
      <c r="E1" s="41">
        <v>44621.0</v>
      </c>
      <c r="F1" s="41">
        <v>44986.0</v>
      </c>
      <c r="G1" s="41">
        <v>45352.0</v>
      </c>
      <c r="H1" s="42">
        <v>45717.0</v>
      </c>
    </row>
    <row r="2">
      <c r="A2" s="7" t="s">
        <v>795</v>
      </c>
      <c r="B2" s="33">
        <v>20005.0</v>
      </c>
      <c r="C2" s="10">
        <v>24870.0</v>
      </c>
      <c r="D2" s="10">
        <v>24143.0</v>
      </c>
      <c r="E2" s="10">
        <v>30976.0</v>
      </c>
      <c r="F2" s="10">
        <v>42840.0</v>
      </c>
      <c r="G2" s="10">
        <v>50789.0</v>
      </c>
      <c r="H2" s="10">
        <v>59358.0</v>
      </c>
    </row>
    <row r="3">
      <c r="A3" s="32" t="s">
        <v>797</v>
      </c>
      <c r="B3" s="37">
        <v>1634.0</v>
      </c>
      <c r="C3" s="37">
        <v>2128.0</v>
      </c>
      <c r="D3" s="37">
        <v>1745.0</v>
      </c>
      <c r="E3" s="37">
        <v>2502.0</v>
      </c>
      <c r="F3" s="37">
        <v>3639.0</v>
      </c>
      <c r="G3" s="37">
        <v>4106.0</v>
      </c>
      <c r="H3" s="37">
        <v>4494.0</v>
      </c>
    </row>
    <row r="4">
      <c r="A4" s="7" t="s">
        <v>798</v>
      </c>
      <c r="B4" s="50">
        <v>0.07108222944263934</v>
      </c>
      <c r="C4" s="12">
        <v>0.07052673904302373</v>
      </c>
      <c r="D4" s="12">
        <v>0.05512985130265501</v>
      </c>
      <c r="E4" s="12">
        <v>0.0646952479338843</v>
      </c>
      <c r="F4" s="12">
        <v>0.0700280112044818</v>
      </c>
      <c r="G4" s="12">
        <v>0.06645139695603379</v>
      </c>
      <c r="H4" s="12">
        <v>0.061053269988881026</v>
      </c>
      <c r="J4" s="12"/>
    </row>
    <row r="5">
      <c r="A5" s="51" t="s">
        <v>828</v>
      </c>
      <c r="B5" s="12">
        <f>('Yearly Snapshot'!D5-'Yearly Snapshot'!C5)/'Yearly Snapshot'!D5</f>
        <v>0.1719706242</v>
      </c>
      <c r="C5" s="12">
        <f>('Yearly Snapshot'!E5-'Yearly Snapshot'!D5)/'Yearly Snapshot'!E5</f>
        <v>0.2321428571</v>
      </c>
      <c r="D5" s="12">
        <f>('Yearly Snapshot'!F5-'Yearly Snapshot'!E5)/'Yearly Snapshot'!F5</f>
        <v>-0.2194842407</v>
      </c>
      <c r="E5" s="12">
        <f>('Yearly Snapshot'!G5-'Yearly Snapshot'!F5)/'Yearly Snapshot'!G5</f>
        <v>0.3025579536</v>
      </c>
      <c r="F5" s="12">
        <f>('Yearly Snapshot'!H5-'Yearly Snapshot'!G5)/'Yearly Snapshot'!H5</f>
        <v>0.3124484749</v>
      </c>
      <c r="G5" s="12">
        <f>('Yearly Snapshot'!I5-'Yearly Snapshot'!H5)/'Yearly Snapshot'!I5</f>
        <v>0.1137359961</v>
      </c>
      <c r="H5" s="12">
        <f>('Yearly Snapshot'!J5-'Yearly Snapshot'!I5)/'Yearly Snapshot'!J5</f>
        <v>0.08633733867</v>
      </c>
      <c r="J5" s="12"/>
    </row>
    <row r="6">
      <c r="A6" s="51" t="s">
        <v>829</v>
      </c>
      <c r="C6" s="12">
        <f t="shared" ref="C6:H6" si="1">(C5+B5)/2</f>
        <v>0.2020567407</v>
      </c>
      <c r="D6" s="12">
        <f t="shared" si="1"/>
        <v>0.006329308228</v>
      </c>
      <c r="E6" s="12">
        <f t="shared" si="1"/>
        <v>0.04153685647</v>
      </c>
      <c r="F6" s="12">
        <f t="shared" si="1"/>
        <v>0.3075032142</v>
      </c>
      <c r="G6" s="12">
        <f t="shared" si="1"/>
        <v>0.2130922355</v>
      </c>
      <c r="H6" s="12">
        <f t="shared" si="1"/>
        <v>0.1000366674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63"/>
  </cols>
  <sheetData>
    <row r="1">
      <c r="A1" s="32" t="s">
        <v>794</v>
      </c>
      <c r="B1" s="40">
        <v>42795.0</v>
      </c>
      <c r="C1" s="40">
        <v>43160.0</v>
      </c>
      <c r="D1" s="40">
        <v>43525.0</v>
      </c>
      <c r="E1" s="41">
        <v>43891.0</v>
      </c>
      <c r="F1" s="41">
        <v>44256.0</v>
      </c>
      <c r="G1" s="41">
        <v>44621.0</v>
      </c>
      <c r="H1" s="41">
        <v>44986.0</v>
      </c>
      <c r="I1" s="41">
        <v>45352.0</v>
      </c>
      <c r="J1" s="42">
        <v>45717.0</v>
      </c>
    </row>
    <row r="2">
      <c r="A2" s="32" t="s">
        <v>795</v>
      </c>
      <c r="B2" s="33">
        <v>11898.0</v>
      </c>
      <c r="C2" s="33">
        <v>15033.0</v>
      </c>
      <c r="D2" s="33">
        <v>20005.0</v>
      </c>
      <c r="E2" s="33">
        <v>24870.0</v>
      </c>
      <c r="F2" s="33">
        <v>24143.0</v>
      </c>
      <c r="G2" s="33">
        <v>30976.0</v>
      </c>
      <c r="H2" s="33">
        <v>42840.0</v>
      </c>
      <c r="I2" s="33">
        <v>50789.0</v>
      </c>
      <c r="J2" s="33">
        <v>59358.0</v>
      </c>
    </row>
    <row r="3">
      <c r="A3" s="34" t="s">
        <v>796</v>
      </c>
      <c r="B3" s="35"/>
      <c r="C3" s="36">
        <f t="shared" ref="C3:J3" si="1">((C2-B2)/C2)</f>
        <v>0.2085412093</v>
      </c>
      <c r="D3" s="36">
        <f t="shared" si="1"/>
        <v>0.2485378655</v>
      </c>
      <c r="E3" s="36">
        <f t="shared" si="1"/>
        <v>0.1956172095</v>
      </c>
      <c r="F3" s="36">
        <f t="shared" si="1"/>
        <v>-0.03011224786</v>
      </c>
      <c r="G3" s="36">
        <f t="shared" si="1"/>
        <v>0.2205901343</v>
      </c>
      <c r="H3" s="36">
        <f t="shared" si="1"/>
        <v>0.2769374416</v>
      </c>
      <c r="I3" s="36">
        <f t="shared" si="1"/>
        <v>0.156510268</v>
      </c>
      <c r="J3" s="36">
        <f t="shared" si="1"/>
        <v>0.1443613329</v>
      </c>
    </row>
    <row r="4">
      <c r="A4" s="32"/>
    </row>
    <row r="5">
      <c r="A5" s="32" t="s">
        <v>830</v>
      </c>
      <c r="B5" s="33">
        <v>3696.82</v>
      </c>
      <c r="C5" s="33">
        <v>3423.09</v>
      </c>
      <c r="D5" s="33">
        <v>4650.87</v>
      </c>
      <c r="E5" s="33">
        <v>6189.09</v>
      </c>
      <c r="F5" s="33">
        <v>7918.33</v>
      </c>
      <c r="G5" s="33">
        <v>10288.4</v>
      </c>
      <c r="H5" s="33">
        <v>12059.65</v>
      </c>
      <c r="I5" s="33">
        <v>14233.51</v>
      </c>
      <c r="J5" s="33">
        <v>17190.91</v>
      </c>
    </row>
    <row r="6">
      <c r="A6" s="32" t="s">
        <v>831</v>
      </c>
      <c r="B6" s="33"/>
      <c r="C6" s="52">
        <f t="shared" ref="C6:J6" si="2">(C5-B5)/C5</f>
        <v>-0.07996576193</v>
      </c>
      <c r="D6" s="52">
        <f t="shared" si="2"/>
        <v>0.2639893181</v>
      </c>
      <c r="E6" s="52">
        <f t="shared" si="2"/>
        <v>0.2485373456</v>
      </c>
      <c r="F6" s="52">
        <f t="shared" si="2"/>
        <v>0.2183844321</v>
      </c>
      <c r="G6" s="52">
        <f t="shared" si="2"/>
        <v>0.2303633218</v>
      </c>
      <c r="H6" s="52">
        <f t="shared" si="2"/>
        <v>0.1468740801</v>
      </c>
      <c r="I6" s="52">
        <f t="shared" si="2"/>
        <v>0.1527283151</v>
      </c>
      <c r="J6" s="52">
        <f t="shared" si="2"/>
        <v>0.1720327778</v>
      </c>
    </row>
    <row r="7">
      <c r="A7" s="32"/>
      <c r="B7" s="33"/>
      <c r="C7" s="33"/>
      <c r="D7" s="33"/>
      <c r="E7" s="33"/>
      <c r="F7" s="33"/>
      <c r="G7" s="33"/>
      <c r="H7" s="33"/>
      <c r="I7" s="33"/>
      <c r="J7" s="33"/>
    </row>
    <row r="8">
      <c r="A8" s="32" t="s">
        <v>832</v>
      </c>
      <c r="B8" s="52">
        <f t="shared" ref="B8:J8" si="3">B5/B2</f>
        <v>0.3107093629</v>
      </c>
      <c r="C8" s="52">
        <f t="shared" si="3"/>
        <v>0.2277050489</v>
      </c>
      <c r="D8" s="52">
        <f t="shared" si="3"/>
        <v>0.2324853787</v>
      </c>
      <c r="E8" s="52">
        <f t="shared" si="3"/>
        <v>0.2488576598</v>
      </c>
      <c r="F8" s="52">
        <f t="shared" si="3"/>
        <v>0.327976225</v>
      </c>
      <c r="G8" s="52">
        <f t="shared" si="3"/>
        <v>0.3321410124</v>
      </c>
      <c r="H8" s="52">
        <f t="shared" si="3"/>
        <v>0.2815044351</v>
      </c>
      <c r="I8" s="52">
        <f t="shared" si="3"/>
        <v>0.2802478883</v>
      </c>
      <c r="J8" s="52">
        <f t="shared" si="3"/>
        <v>0.2896140369</v>
      </c>
    </row>
    <row r="9">
      <c r="A9" s="32"/>
      <c r="B9" s="33"/>
      <c r="C9" s="33"/>
      <c r="D9" s="33"/>
      <c r="E9" s="33"/>
      <c r="F9" s="33"/>
      <c r="G9" s="33"/>
      <c r="H9" s="33"/>
      <c r="I9" s="33"/>
      <c r="J9" s="33"/>
    </row>
    <row r="10">
      <c r="A10" s="32" t="s">
        <v>833</v>
      </c>
      <c r="B10" s="39">
        <v>128.0</v>
      </c>
      <c r="C10" s="39">
        <v>159.0</v>
      </c>
      <c r="D10" s="39">
        <v>212.0</v>
      </c>
      <c r="E10" s="39">
        <v>374.0</v>
      </c>
      <c r="F10" s="39">
        <v>414.0</v>
      </c>
      <c r="G10" s="39">
        <v>498.0</v>
      </c>
      <c r="H10" s="39">
        <v>639.0</v>
      </c>
      <c r="I10" s="39">
        <v>731.0</v>
      </c>
      <c r="J10" s="39">
        <v>870.0</v>
      </c>
    </row>
    <row r="11">
      <c r="A11" s="32" t="s">
        <v>834</v>
      </c>
      <c r="B11" s="33"/>
      <c r="C11" s="52">
        <f t="shared" ref="C11:J11" si="4">(C10-B10)/C10</f>
        <v>0.1949685535</v>
      </c>
      <c r="D11" s="52">
        <f t="shared" si="4"/>
        <v>0.25</v>
      </c>
      <c r="E11" s="52">
        <f t="shared" si="4"/>
        <v>0.4331550802</v>
      </c>
      <c r="F11" s="52">
        <f t="shared" si="4"/>
        <v>0.09661835749</v>
      </c>
      <c r="G11" s="52">
        <f t="shared" si="4"/>
        <v>0.1686746988</v>
      </c>
      <c r="H11" s="52">
        <f t="shared" si="4"/>
        <v>0.220657277</v>
      </c>
      <c r="I11" s="52">
        <f t="shared" si="4"/>
        <v>0.1258549932</v>
      </c>
      <c r="J11" s="52">
        <f t="shared" si="4"/>
        <v>0.1597701149</v>
      </c>
    </row>
    <row r="12">
      <c r="A12" s="32"/>
      <c r="B12" s="33"/>
      <c r="C12" s="33"/>
      <c r="D12" s="33"/>
      <c r="E12" s="33"/>
      <c r="F12" s="33"/>
      <c r="G12" s="33"/>
      <c r="H12" s="33"/>
      <c r="I12" s="33"/>
      <c r="J12" s="33"/>
    </row>
    <row r="13">
      <c r="A13" s="32" t="s">
        <v>835</v>
      </c>
      <c r="B13" s="52">
        <f t="shared" ref="B13:J13" si="5">B10/B2</f>
        <v>0.01075811061</v>
      </c>
      <c r="C13" s="52">
        <f t="shared" si="5"/>
        <v>0.01057673119</v>
      </c>
      <c r="D13" s="52">
        <f t="shared" si="5"/>
        <v>0.01059735066</v>
      </c>
      <c r="E13" s="52">
        <f t="shared" si="5"/>
        <v>0.01503819863</v>
      </c>
      <c r="F13" s="52">
        <f t="shared" si="5"/>
        <v>0.01714782753</v>
      </c>
      <c r="G13" s="52">
        <f t="shared" si="5"/>
        <v>0.01607696281</v>
      </c>
      <c r="H13" s="52">
        <f t="shared" si="5"/>
        <v>0.01491596639</v>
      </c>
      <c r="I13" s="52">
        <f t="shared" si="5"/>
        <v>0.01439288035</v>
      </c>
      <c r="J13" s="52">
        <f t="shared" si="5"/>
        <v>0.01465682806</v>
      </c>
    </row>
    <row r="14">
      <c r="A14" s="32" t="s">
        <v>836</v>
      </c>
      <c r="B14" s="52">
        <f t="shared" ref="B14:J14" si="6">B10/B5</f>
        <v>0.03462435282</v>
      </c>
      <c r="C14" s="52">
        <f t="shared" si="6"/>
        <v>0.04644926076</v>
      </c>
      <c r="D14" s="52">
        <f t="shared" si="6"/>
        <v>0.04558286944</v>
      </c>
      <c r="E14" s="52">
        <f t="shared" si="6"/>
        <v>0.06042891604</v>
      </c>
      <c r="F14" s="52">
        <f t="shared" si="6"/>
        <v>0.05228375175</v>
      </c>
      <c r="G14" s="52">
        <f t="shared" si="6"/>
        <v>0.04840402784</v>
      </c>
      <c r="H14" s="52">
        <f t="shared" si="6"/>
        <v>0.05298661238</v>
      </c>
      <c r="I14" s="52">
        <f t="shared" si="6"/>
        <v>0.05135767636</v>
      </c>
      <c r="J14" s="52">
        <f t="shared" si="6"/>
        <v>0.05060814116</v>
      </c>
    </row>
    <row r="15">
      <c r="A15" s="32"/>
      <c r="B15" s="33"/>
      <c r="C15" s="33"/>
      <c r="D15" s="33"/>
      <c r="E15" s="33"/>
      <c r="F15" s="33"/>
      <c r="G15" s="33"/>
      <c r="H15" s="33"/>
      <c r="I15" s="33"/>
      <c r="J15" s="33"/>
    </row>
    <row r="16">
      <c r="A16" s="32" t="s">
        <v>837</v>
      </c>
      <c r="B16" s="33">
        <v>2766.21</v>
      </c>
      <c r="C16" s="33">
        <v>3661.09</v>
      </c>
      <c r="D16" s="33">
        <v>4857.55</v>
      </c>
      <c r="E16" s="33">
        <v>5930.28</v>
      </c>
      <c r="F16" s="33">
        <v>7048.44</v>
      </c>
      <c r="G16" s="33">
        <v>9205.34</v>
      </c>
      <c r="H16" s="33">
        <v>11598.71</v>
      </c>
      <c r="I16" s="33">
        <v>14139.16</v>
      </c>
      <c r="J16" s="33">
        <v>17304.18</v>
      </c>
    </row>
    <row r="17">
      <c r="A17" s="32" t="s">
        <v>838</v>
      </c>
      <c r="B17" s="33">
        <v>222.27</v>
      </c>
      <c r="C17" s="33">
        <v>385.08</v>
      </c>
      <c r="D17" s="33">
        <v>583.52</v>
      </c>
      <c r="E17" s="33">
        <v>822.92</v>
      </c>
      <c r="F17" s="33">
        <v>1109.94</v>
      </c>
      <c r="G17" s="33">
        <v>1434.88</v>
      </c>
      <c r="H17" s="33">
        <v>1873.1</v>
      </c>
      <c r="I17" s="33">
        <v>2379.97</v>
      </c>
      <c r="J17" s="33">
        <v>2954.35</v>
      </c>
    </row>
    <row r="18">
      <c r="A18" s="32" t="s">
        <v>839</v>
      </c>
      <c r="B18" s="33">
        <f t="shared" ref="B18:J18" si="7">B16-B17</f>
        <v>2543.94</v>
      </c>
      <c r="C18" s="33">
        <f t="shared" si="7"/>
        <v>3276.01</v>
      </c>
      <c r="D18" s="33">
        <f t="shared" si="7"/>
        <v>4274.03</v>
      </c>
      <c r="E18" s="33">
        <f t="shared" si="7"/>
        <v>5107.36</v>
      </c>
      <c r="F18" s="33">
        <f t="shared" si="7"/>
        <v>5938.5</v>
      </c>
      <c r="G18" s="33">
        <f t="shared" si="7"/>
        <v>7770.46</v>
      </c>
      <c r="H18" s="33">
        <f t="shared" si="7"/>
        <v>9725.61</v>
      </c>
      <c r="I18" s="33">
        <f t="shared" si="7"/>
        <v>11759.19</v>
      </c>
      <c r="J18" s="33">
        <f t="shared" si="7"/>
        <v>14349.83</v>
      </c>
    </row>
    <row r="19">
      <c r="A19" s="32" t="s">
        <v>840</v>
      </c>
      <c r="B19" s="33">
        <v>125.95</v>
      </c>
      <c r="C19" s="33">
        <v>164.29</v>
      </c>
      <c r="D19" s="33">
        <v>203.02</v>
      </c>
      <c r="E19" s="33">
        <v>261.87</v>
      </c>
      <c r="F19" s="33">
        <v>289.23</v>
      </c>
      <c r="G19" s="33">
        <v>339.98</v>
      </c>
      <c r="H19" s="33">
        <v>459.59</v>
      </c>
      <c r="I19" s="33">
        <v>533.65</v>
      </c>
      <c r="J19" s="33">
        <v>632.73</v>
      </c>
    </row>
    <row r="20">
      <c r="A20" s="32" t="s">
        <v>841</v>
      </c>
      <c r="B20" s="52">
        <f t="shared" ref="B20:J20" si="8">B17/B16</f>
        <v>0.08035181711</v>
      </c>
      <c r="C20" s="52">
        <f t="shared" si="8"/>
        <v>0.1051817901</v>
      </c>
      <c r="D20" s="52">
        <f t="shared" si="8"/>
        <v>0.1201264012</v>
      </c>
      <c r="E20" s="52">
        <f t="shared" si="8"/>
        <v>0.1387657918</v>
      </c>
      <c r="F20" s="52">
        <f t="shared" si="8"/>
        <v>0.157473143</v>
      </c>
      <c r="G20" s="52">
        <f t="shared" si="8"/>
        <v>0.1558747423</v>
      </c>
      <c r="H20" s="52">
        <f t="shared" si="8"/>
        <v>0.161492097</v>
      </c>
      <c r="I20" s="52">
        <f t="shared" si="8"/>
        <v>0.1683247095</v>
      </c>
      <c r="J20" s="52">
        <f t="shared" si="8"/>
        <v>0.1707304247</v>
      </c>
    </row>
    <row r="21">
      <c r="A21" s="32"/>
      <c r="B21" s="33"/>
      <c r="C21" s="33"/>
      <c r="D21" s="33"/>
      <c r="E21" s="33"/>
      <c r="F21" s="33"/>
      <c r="G21" s="33"/>
      <c r="H21" s="33"/>
      <c r="I21" s="33"/>
      <c r="J21" s="33"/>
    </row>
    <row r="22">
      <c r="A22" s="32" t="s">
        <v>842</v>
      </c>
      <c r="B22" s="33">
        <f t="shared" ref="B22:J22" si="9">B16/B19</f>
        <v>21.962763</v>
      </c>
      <c r="C22" s="33">
        <f t="shared" si="9"/>
        <v>22.28431432</v>
      </c>
      <c r="D22" s="33">
        <f t="shared" si="9"/>
        <v>23.92646045</v>
      </c>
      <c r="E22" s="33">
        <f t="shared" si="9"/>
        <v>22.645893</v>
      </c>
      <c r="F22" s="33">
        <f t="shared" si="9"/>
        <v>24.3696712</v>
      </c>
      <c r="G22" s="33">
        <f t="shared" si="9"/>
        <v>27.07612212</v>
      </c>
      <c r="H22" s="33">
        <f t="shared" si="9"/>
        <v>25.23708088</v>
      </c>
      <c r="I22" s="33">
        <f t="shared" si="9"/>
        <v>26.49519348</v>
      </c>
      <c r="J22" s="33">
        <f t="shared" si="9"/>
        <v>27.34844246</v>
      </c>
    </row>
    <row r="23">
      <c r="A23" s="32" t="s">
        <v>843</v>
      </c>
      <c r="B23" s="33">
        <f t="shared" ref="B23:J23" si="10">B17/B19</f>
        <v>1.764747916</v>
      </c>
      <c r="C23" s="33">
        <f t="shared" si="10"/>
        <v>2.343904072</v>
      </c>
      <c r="D23" s="33">
        <f t="shared" si="10"/>
        <v>2.874199586</v>
      </c>
      <c r="E23" s="33">
        <f t="shared" si="10"/>
        <v>3.142475274</v>
      </c>
      <c r="F23" s="33">
        <f t="shared" si="10"/>
        <v>3.837568717</v>
      </c>
      <c r="G23" s="33">
        <f t="shared" si="10"/>
        <v>4.220483558</v>
      </c>
      <c r="H23" s="33">
        <f t="shared" si="10"/>
        <v>4.075589112</v>
      </c>
      <c r="I23" s="33">
        <f t="shared" si="10"/>
        <v>4.459795746</v>
      </c>
      <c r="J23" s="33">
        <f t="shared" si="10"/>
        <v>4.669211196</v>
      </c>
    </row>
    <row r="24">
      <c r="A24" s="32"/>
      <c r="B24" s="33"/>
      <c r="C24" s="33"/>
      <c r="D24" s="33"/>
      <c r="E24" s="33"/>
      <c r="F24" s="33"/>
      <c r="G24" s="33"/>
      <c r="H24" s="33"/>
      <c r="I24" s="33"/>
      <c r="J24" s="33"/>
    </row>
    <row r="25">
      <c r="A25" s="32" t="s">
        <v>844</v>
      </c>
      <c r="B25" s="33"/>
      <c r="C25" s="33">
        <f t="shared" ref="C25:J25" si="11">C2-B2</f>
        <v>3135</v>
      </c>
      <c r="D25" s="33">
        <f t="shared" si="11"/>
        <v>4972</v>
      </c>
      <c r="E25" s="33">
        <f t="shared" si="11"/>
        <v>4865</v>
      </c>
      <c r="F25" s="33">
        <f t="shared" si="11"/>
        <v>-727</v>
      </c>
      <c r="G25" s="33">
        <f t="shared" si="11"/>
        <v>6833</v>
      </c>
      <c r="H25" s="33">
        <f t="shared" si="11"/>
        <v>11864</v>
      </c>
      <c r="I25" s="33">
        <f t="shared" si="11"/>
        <v>7949</v>
      </c>
      <c r="J25" s="33">
        <f t="shared" si="11"/>
        <v>8569</v>
      </c>
    </row>
    <row r="26">
      <c r="A26" s="32" t="s">
        <v>845</v>
      </c>
      <c r="B26" s="33"/>
      <c r="C26" s="33">
        <f t="shared" ref="C26:J26" si="12">C5-B5</f>
        <v>-273.73</v>
      </c>
      <c r="D26" s="33">
        <f t="shared" si="12"/>
        <v>1227.78</v>
      </c>
      <c r="E26" s="33">
        <f t="shared" si="12"/>
        <v>1538.22</v>
      </c>
      <c r="F26" s="33">
        <f t="shared" si="12"/>
        <v>1729.24</v>
      </c>
      <c r="G26" s="33">
        <f t="shared" si="12"/>
        <v>2370.07</v>
      </c>
      <c r="H26" s="33">
        <f t="shared" si="12"/>
        <v>1771.25</v>
      </c>
      <c r="I26" s="33">
        <f t="shared" si="12"/>
        <v>2173.86</v>
      </c>
      <c r="J26" s="33">
        <f t="shared" si="12"/>
        <v>2957.4</v>
      </c>
    </row>
    <row r="27">
      <c r="A27" s="32"/>
      <c r="B27" s="33"/>
      <c r="C27" s="33"/>
      <c r="D27" s="33"/>
      <c r="E27" s="33"/>
      <c r="F27" s="33"/>
      <c r="G27" s="33"/>
      <c r="H27" s="33"/>
      <c r="I27" s="33"/>
      <c r="J27" s="33"/>
    </row>
    <row r="28">
      <c r="A28" s="32" t="s">
        <v>846</v>
      </c>
      <c r="B28" s="33"/>
      <c r="C28" s="33">
        <f t="shared" ref="C28:J28" si="13">C25/C26</f>
        <v>-11.45289154</v>
      </c>
      <c r="D28" s="33">
        <f t="shared" si="13"/>
        <v>4.049585431</v>
      </c>
      <c r="E28" s="33">
        <f t="shared" si="13"/>
        <v>3.162746551</v>
      </c>
      <c r="F28" s="33">
        <f t="shared" si="13"/>
        <v>-0.4204159053</v>
      </c>
      <c r="G28" s="33">
        <f t="shared" si="13"/>
        <v>2.88303721</v>
      </c>
      <c r="H28" s="33">
        <f t="shared" si="13"/>
        <v>6.698094566</v>
      </c>
      <c r="I28" s="33">
        <f t="shared" si="13"/>
        <v>3.656629222</v>
      </c>
      <c r="J28" s="33">
        <f t="shared" si="13"/>
        <v>2.897477514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</cols>
  <sheetData>
    <row r="1">
      <c r="A1" s="7" t="s">
        <v>794</v>
      </c>
      <c r="B1" s="53">
        <v>42795.0</v>
      </c>
      <c r="C1" s="53">
        <v>43160.0</v>
      </c>
      <c r="D1" s="53">
        <v>43525.0</v>
      </c>
      <c r="E1" s="8">
        <v>43891.0</v>
      </c>
      <c r="F1" s="8">
        <v>44256.0</v>
      </c>
      <c r="G1" s="8">
        <v>44621.0</v>
      </c>
      <c r="H1" s="8">
        <v>44986.0</v>
      </c>
      <c r="I1" s="8">
        <v>45352.0</v>
      </c>
      <c r="J1" s="9">
        <v>45717.0</v>
      </c>
    </row>
    <row r="2">
      <c r="A2" s="7" t="s">
        <v>795</v>
      </c>
      <c r="B2" s="10">
        <v>11898.0</v>
      </c>
      <c r="C2" s="10">
        <v>15033.0</v>
      </c>
      <c r="D2" s="10">
        <v>20005.0</v>
      </c>
      <c r="E2" s="10">
        <v>24870.0</v>
      </c>
      <c r="F2" s="10">
        <v>24143.0</v>
      </c>
      <c r="G2" s="10">
        <v>30976.0</v>
      </c>
      <c r="H2" s="10">
        <v>42840.0</v>
      </c>
      <c r="I2" s="10">
        <v>50789.0</v>
      </c>
      <c r="J2" s="10">
        <v>59358.0</v>
      </c>
    </row>
    <row r="3">
      <c r="A3" s="7" t="s">
        <v>818</v>
      </c>
      <c r="B3" s="14">
        <v>841.0</v>
      </c>
      <c r="C3" s="14">
        <v>1194.0</v>
      </c>
      <c r="D3" s="14">
        <v>1422.0</v>
      </c>
      <c r="E3" s="14">
        <v>1754.0</v>
      </c>
      <c r="F3" s="14">
        <v>1331.0</v>
      </c>
      <c r="G3" s="14">
        <v>2004.0</v>
      </c>
      <c r="H3" s="14">
        <v>3000.0</v>
      </c>
      <c r="I3" s="14">
        <v>3375.0</v>
      </c>
      <c r="J3" s="14">
        <v>3624.0</v>
      </c>
    </row>
    <row r="4">
      <c r="A4" s="11" t="s">
        <v>819</v>
      </c>
      <c r="B4" s="13">
        <v>0.07068414859640276</v>
      </c>
      <c r="C4" s="13">
        <v>0.07942526441827978</v>
      </c>
      <c r="D4" s="13">
        <v>0.07108222944263934</v>
      </c>
      <c r="E4" s="13">
        <v>0.07052673904302373</v>
      </c>
      <c r="F4" s="13">
        <v>0.05512985130265501</v>
      </c>
      <c r="G4" s="13">
        <v>0.0646952479338843</v>
      </c>
      <c r="H4" s="13">
        <v>0.0700280112044818</v>
      </c>
      <c r="I4" s="13">
        <v>0.06645139695603379</v>
      </c>
      <c r="J4" s="13">
        <v>0.061053269988881026</v>
      </c>
    </row>
    <row r="6">
      <c r="E6" s="13"/>
      <c r="F6" s="13"/>
      <c r="G6" s="13"/>
      <c r="H6" s="13"/>
      <c r="I6" s="13"/>
      <c r="J6" s="13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</cols>
  <sheetData>
    <row r="1">
      <c r="B1" s="54" t="s">
        <v>847</v>
      </c>
    </row>
    <row r="2">
      <c r="A2" s="32" t="s">
        <v>794</v>
      </c>
      <c r="B2" s="19">
        <v>45382.0</v>
      </c>
      <c r="C2" s="19">
        <v>45473.0</v>
      </c>
      <c r="D2" s="19">
        <v>45565.0</v>
      </c>
      <c r="E2" s="20">
        <v>45657.0</v>
      </c>
      <c r="F2" s="20">
        <v>45747.0</v>
      </c>
      <c r="G2" s="20">
        <v>45838.0</v>
      </c>
      <c r="H2" s="20">
        <v>45930.0</v>
      </c>
      <c r="I2" s="20">
        <v>46022.0</v>
      </c>
    </row>
    <row r="3">
      <c r="A3" s="32" t="s">
        <v>795</v>
      </c>
      <c r="B3" s="33">
        <v>76683.0</v>
      </c>
      <c r="C3" s="33">
        <v>75630.0</v>
      </c>
      <c r="D3" s="33">
        <v>76325.0</v>
      </c>
      <c r="E3" s="33">
        <v>90351.0</v>
      </c>
      <c r="F3" s="33">
        <v>88637.0</v>
      </c>
      <c r="G3" s="33">
        <v>84172.0</v>
      </c>
      <c r="H3" s="33">
        <v>90544.0</v>
      </c>
      <c r="I3" s="33">
        <v>97912.0</v>
      </c>
    </row>
    <row r="4">
      <c r="A4" s="34" t="s">
        <v>815</v>
      </c>
      <c r="B4" s="33"/>
      <c r="C4" s="52">
        <f t="shared" ref="C4:I4" si="1">((C3-B3)/C3)</f>
        <v>-0.01392304641</v>
      </c>
      <c r="D4" s="52">
        <f t="shared" si="1"/>
        <v>0.009105797576</v>
      </c>
      <c r="E4" s="52">
        <f t="shared" si="1"/>
        <v>0.1552390123</v>
      </c>
      <c r="F4" s="52">
        <f t="shared" si="1"/>
        <v>-0.01933729707</v>
      </c>
      <c r="G4" s="52">
        <f t="shared" si="1"/>
        <v>-0.05304614361</v>
      </c>
      <c r="H4" s="52">
        <f t="shared" si="1"/>
        <v>0.07037462449</v>
      </c>
      <c r="I4" s="52">
        <f t="shared" si="1"/>
        <v>0.07525124602</v>
      </c>
    </row>
    <row r="5">
      <c r="A5" s="32" t="s">
        <v>816</v>
      </c>
      <c r="B5" s="33">
        <f t="shared" ref="B5:I5" si="2">B3-B6</f>
        <v>70854</v>
      </c>
      <c r="C5" s="33">
        <f t="shared" si="2"/>
        <v>69958</v>
      </c>
      <c r="D5" s="33">
        <f t="shared" si="2"/>
        <v>70464</v>
      </c>
      <c r="E5" s="33">
        <f t="shared" si="2"/>
        <v>83511</v>
      </c>
      <c r="F5" s="33">
        <f t="shared" si="2"/>
        <v>81916</v>
      </c>
      <c r="G5" s="33">
        <f t="shared" si="2"/>
        <v>77791</v>
      </c>
      <c r="H5" s="33">
        <f t="shared" si="2"/>
        <v>83727</v>
      </c>
      <c r="I5" s="33">
        <f t="shared" si="2"/>
        <v>90997</v>
      </c>
    </row>
    <row r="6">
      <c r="A6" s="32" t="s">
        <v>797</v>
      </c>
      <c r="B6" s="33">
        <v>5829.0</v>
      </c>
      <c r="C6" s="33">
        <v>5672.0</v>
      </c>
      <c r="D6" s="33">
        <v>5861.0</v>
      </c>
      <c r="E6" s="33">
        <v>6840.0</v>
      </c>
      <c r="F6" s="33">
        <v>6721.0</v>
      </c>
      <c r="G6" s="33">
        <v>6381.0</v>
      </c>
      <c r="H6" s="33">
        <v>6817.0</v>
      </c>
      <c r="I6" s="33">
        <v>6915.0</v>
      </c>
    </row>
    <row r="7">
      <c r="A7" s="34" t="s">
        <v>798</v>
      </c>
      <c r="B7" s="52">
        <f t="shared" ref="B7:I7" si="3">B6/B3</f>
        <v>0.07601424044</v>
      </c>
      <c r="C7" s="52">
        <f t="shared" si="3"/>
        <v>0.07499669443</v>
      </c>
      <c r="D7" s="52">
        <f t="shared" si="3"/>
        <v>0.07679004258</v>
      </c>
      <c r="E7" s="52">
        <f t="shared" si="3"/>
        <v>0.07570475147</v>
      </c>
      <c r="F7" s="52">
        <f t="shared" si="3"/>
        <v>0.07582612227</v>
      </c>
      <c r="G7" s="52">
        <f t="shared" si="3"/>
        <v>0.07580905764</v>
      </c>
      <c r="H7" s="52">
        <f t="shared" si="3"/>
        <v>0.07528936208</v>
      </c>
      <c r="I7" s="52">
        <f t="shared" si="3"/>
        <v>0.07062464254</v>
      </c>
    </row>
    <row r="8">
      <c r="A8" s="32" t="s">
        <v>817</v>
      </c>
      <c r="B8" s="33">
        <f t="shared" ref="B8:I8" si="4">B6-B9</f>
        <v>1457</v>
      </c>
      <c r="C8" s="33">
        <f t="shared" si="4"/>
        <v>1670</v>
      </c>
      <c r="D8" s="33">
        <f t="shared" si="4"/>
        <v>1429</v>
      </c>
      <c r="E8" s="33">
        <f t="shared" si="4"/>
        <v>1518</v>
      </c>
      <c r="F8" s="33">
        <f t="shared" si="4"/>
        <v>1407</v>
      </c>
      <c r="G8" s="33">
        <f t="shared" si="4"/>
        <v>1515</v>
      </c>
      <c r="H8" s="33">
        <f t="shared" si="4"/>
        <v>1548</v>
      </c>
      <c r="I8" s="33">
        <f t="shared" si="4"/>
        <v>1575</v>
      </c>
    </row>
    <row r="9">
      <c r="A9" s="32" t="s">
        <v>818</v>
      </c>
      <c r="B9" s="33">
        <v>4372.0</v>
      </c>
      <c r="C9" s="33">
        <v>4002.0</v>
      </c>
      <c r="D9" s="33">
        <v>4432.0</v>
      </c>
      <c r="E9" s="33">
        <v>5322.0</v>
      </c>
      <c r="F9" s="33">
        <v>5314.0</v>
      </c>
      <c r="G9" s="33">
        <v>4866.0</v>
      </c>
      <c r="H9" s="33">
        <v>5269.0</v>
      </c>
      <c r="I9" s="33">
        <v>5340.0</v>
      </c>
    </row>
    <row r="10">
      <c r="A10" s="34" t="s">
        <v>819</v>
      </c>
      <c r="B10" s="52">
        <f t="shared" ref="B10:I10" si="5">B9/B3</f>
        <v>0.05701394051</v>
      </c>
      <c r="C10" s="52">
        <f t="shared" si="5"/>
        <v>0.05291550972</v>
      </c>
      <c r="D10" s="52">
        <f t="shared" si="5"/>
        <v>0.05806747462</v>
      </c>
      <c r="E10" s="52">
        <f t="shared" si="5"/>
        <v>0.05890360926</v>
      </c>
      <c r="F10" s="52">
        <f t="shared" si="5"/>
        <v>0.05995239009</v>
      </c>
      <c r="G10" s="52">
        <f t="shared" si="5"/>
        <v>0.05781019817</v>
      </c>
      <c r="H10" s="52">
        <f t="shared" si="5"/>
        <v>0.05819270189</v>
      </c>
      <c r="I10" s="52">
        <f t="shared" si="5"/>
        <v>0.05453876951</v>
      </c>
    </row>
    <row r="11">
      <c r="A11" s="33"/>
      <c r="B11" s="33"/>
      <c r="C11" s="33"/>
      <c r="D11" s="33"/>
      <c r="E11" s="33"/>
      <c r="F11" s="33"/>
      <c r="G11" s="33"/>
      <c r="H11" s="33"/>
      <c r="I11" s="33"/>
    </row>
    <row r="12">
      <c r="A12" s="33"/>
      <c r="B12" s="33"/>
    </row>
    <row r="13">
      <c r="A13" s="33"/>
      <c r="B13" s="33"/>
      <c r="C13" s="33"/>
      <c r="D13" s="33"/>
      <c r="E13" s="33"/>
      <c r="F13" s="33"/>
      <c r="G13" s="33"/>
      <c r="H13" s="33"/>
      <c r="I13" s="33"/>
    </row>
    <row r="14">
      <c r="A14" s="33"/>
      <c r="B14" s="33"/>
      <c r="C14" s="33"/>
      <c r="D14" s="33"/>
      <c r="E14" s="33"/>
      <c r="F14" s="33"/>
      <c r="G14" s="33"/>
      <c r="H14" s="33"/>
      <c r="I14" s="33"/>
    </row>
    <row r="15">
      <c r="A15" s="33"/>
      <c r="B15" s="33"/>
      <c r="C15" s="33"/>
      <c r="D15" s="33"/>
      <c r="E15" s="33"/>
      <c r="F15" s="33"/>
      <c r="G15" s="33"/>
      <c r="H15" s="33"/>
      <c r="I15" s="33"/>
    </row>
    <row r="16">
      <c r="A16" s="33"/>
      <c r="B16" s="33"/>
      <c r="C16" s="33"/>
      <c r="D16" s="33"/>
      <c r="E16" s="33"/>
      <c r="F16" s="33"/>
      <c r="G16" s="33"/>
      <c r="H16" s="33"/>
      <c r="I16" s="33"/>
    </row>
    <row r="17">
      <c r="A17" s="33"/>
      <c r="B17" s="33"/>
      <c r="C17" s="33"/>
      <c r="D17" s="33"/>
      <c r="E17" s="33"/>
      <c r="F17" s="33"/>
      <c r="G17" s="33"/>
      <c r="H17" s="33"/>
      <c r="I17" s="33"/>
    </row>
    <row r="18">
      <c r="A18" s="33"/>
      <c r="B18" s="33"/>
      <c r="C18" s="33"/>
      <c r="D18" s="33"/>
      <c r="E18" s="33"/>
      <c r="F18" s="33"/>
      <c r="G18" s="33"/>
      <c r="H18" s="33"/>
      <c r="I18" s="33"/>
    </row>
  </sheetData>
  <mergeCells count="2">
    <mergeCell ref="B1:I1"/>
    <mergeCell ref="B12:I12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</cols>
  <sheetData>
    <row r="1">
      <c r="B1" s="54" t="s">
        <v>847</v>
      </c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</row>
    <row r="2">
      <c r="A2" s="32" t="s">
        <v>794</v>
      </c>
      <c r="B2" s="41">
        <v>44256.0</v>
      </c>
      <c r="C2" s="41">
        <v>44621.0</v>
      </c>
      <c r="D2" s="41">
        <v>44986.0</v>
      </c>
      <c r="E2" s="41">
        <v>45352.0</v>
      </c>
      <c r="F2" s="42">
        <v>45717.0</v>
      </c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</row>
    <row r="3">
      <c r="A3" s="32" t="s">
        <v>795</v>
      </c>
      <c r="B3" s="33">
        <v>136911.0</v>
      </c>
      <c r="C3" s="55">
        <v>170133.0</v>
      </c>
      <c r="D3" s="33">
        <v>223653.0</v>
      </c>
      <c r="E3" s="33">
        <v>258388.0</v>
      </c>
      <c r="F3" s="33">
        <v>271012.0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/>
    </row>
    <row r="4">
      <c r="A4" s="34" t="s">
        <v>796</v>
      </c>
      <c r="B4" s="52"/>
      <c r="C4" s="52">
        <f t="shared" ref="C4:F4" si="1">(C3-B3)/C3</f>
        <v>0.1952707588</v>
      </c>
      <c r="D4" s="52">
        <f t="shared" si="1"/>
        <v>0.2392992716</v>
      </c>
      <c r="E4" s="52">
        <f t="shared" si="1"/>
        <v>0.1344296175</v>
      </c>
      <c r="F4" s="52">
        <f t="shared" si="1"/>
        <v>0.0465809632</v>
      </c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  <c r="AC4" s="54"/>
      <c r="AD4" s="54"/>
      <c r="AE4" s="54"/>
      <c r="AF4" s="54"/>
    </row>
    <row r="5">
      <c r="A5" s="32" t="s">
        <v>825</v>
      </c>
      <c r="B5" s="33">
        <v>117940.34</v>
      </c>
      <c r="C5" s="33">
        <v>147485.2</v>
      </c>
      <c r="D5" s="33">
        <v>192986.0</v>
      </c>
      <c r="E5" s="33">
        <v>223306.0</v>
      </c>
      <c r="F5" s="33">
        <v>233997.0</v>
      </c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  <c r="AD5" s="54"/>
      <c r="AE5" s="54"/>
      <c r="AF5" s="54"/>
    </row>
    <row r="6">
      <c r="A6" s="32" t="s">
        <v>826</v>
      </c>
      <c r="B6" s="56">
        <f t="shared" ref="B6:F6" si="2">B3-B5</f>
        <v>18970.66</v>
      </c>
      <c r="C6" s="56">
        <f t="shared" si="2"/>
        <v>22647.8</v>
      </c>
      <c r="D6" s="56">
        <f t="shared" si="2"/>
        <v>30667</v>
      </c>
      <c r="E6" s="56">
        <f t="shared" si="2"/>
        <v>35082</v>
      </c>
      <c r="F6" s="56">
        <f t="shared" si="2"/>
        <v>37015</v>
      </c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</row>
    <row r="7">
      <c r="A7" s="32" t="s">
        <v>848</v>
      </c>
      <c r="B7" s="57">
        <f t="shared" ref="B7:F7" si="3">B6/B3</f>
        <v>0.1385619855</v>
      </c>
      <c r="C7" s="57">
        <f t="shared" si="3"/>
        <v>0.1331182075</v>
      </c>
      <c r="D7" s="57">
        <f t="shared" si="3"/>
        <v>0.1371186615</v>
      </c>
      <c r="E7" s="57">
        <f t="shared" si="3"/>
        <v>0.1357725591</v>
      </c>
      <c r="F7" s="57">
        <f t="shared" si="3"/>
        <v>0.136580668</v>
      </c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</row>
    <row r="8">
      <c r="A8" s="32" t="s">
        <v>849</v>
      </c>
      <c r="B8" s="56">
        <v>10843.660000000003</v>
      </c>
      <c r="C8" s="56">
        <v>12314.799999999988</v>
      </c>
      <c r="D8" s="56">
        <v>14477.0</v>
      </c>
      <c r="E8" s="56">
        <v>14831.0</v>
      </c>
      <c r="F8" s="56">
        <v>14657.0</v>
      </c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</row>
    <row r="9">
      <c r="A9" s="32" t="s">
        <v>797</v>
      </c>
      <c r="B9" s="33">
        <f t="shared" ref="B9:F9" si="4">B3-(B8+B5)</f>
        <v>8127</v>
      </c>
      <c r="C9" s="33">
        <f t="shared" si="4"/>
        <v>10333</v>
      </c>
      <c r="D9" s="33">
        <f t="shared" si="4"/>
        <v>16190</v>
      </c>
      <c r="E9" s="33">
        <f t="shared" si="4"/>
        <v>20251</v>
      </c>
      <c r="F9" s="33">
        <f t="shared" si="4"/>
        <v>22358</v>
      </c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/>
      <c r="AF9" s="54"/>
    </row>
    <row r="10">
      <c r="A10" s="34" t="s">
        <v>798</v>
      </c>
      <c r="B10" s="52">
        <f t="shared" ref="B10:F10" si="5">B9/B3</f>
        <v>0.05935973004</v>
      </c>
      <c r="C10" s="52">
        <f t="shared" si="5"/>
        <v>0.06073483686</v>
      </c>
      <c r="D10" s="52">
        <f t="shared" si="5"/>
        <v>0.07238892391</v>
      </c>
      <c r="E10" s="52">
        <f t="shared" si="5"/>
        <v>0.07837438271</v>
      </c>
      <c r="F10" s="52">
        <f t="shared" si="5"/>
        <v>0.08249819196</v>
      </c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</row>
    <row r="11">
      <c r="A11" s="32" t="s">
        <v>817</v>
      </c>
      <c r="B11" s="33">
        <v>1462.0</v>
      </c>
      <c r="C11" s="33">
        <v>1794.0</v>
      </c>
      <c r="D11" s="33">
        <v>2989.0</v>
      </c>
      <c r="E11" s="33">
        <v>4035.0</v>
      </c>
      <c r="F11" s="33">
        <v>4519.0</v>
      </c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4"/>
      <c r="AE11" s="54"/>
      <c r="AF11" s="54"/>
    </row>
    <row r="12">
      <c r="A12" s="32" t="s">
        <v>818</v>
      </c>
      <c r="B12" s="33">
        <f t="shared" ref="B12:F12" si="6">B9-B11</f>
        <v>6665</v>
      </c>
      <c r="C12" s="33">
        <f t="shared" si="6"/>
        <v>8539</v>
      </c>
      <c r="D12" s="33">
        <f t="shared" si="6"/>
        <v>13201</v>
      </c>
      <c r="E12" s="33">
        <f t="shared" si="6"/>
        <v>16216</v>
      </c>
      <c r="F12" s="33">
        <f t="shared" si="6"/>
        <v>17839</v>
      </c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4"/>
      <c r="AE12" s="54"/>
      <c r="AF12" s="54"/>
    </row>
    <row r="13">
      <c r="A13" s="34" t="s">
        <v>819</v>
      </c>
      <c r="B13" s="52">
        <f t="shared" ref="B13:F13" si="7">B12/B3</f>
        <v>0.04868126009</v>
      </c>
      <c r="C13" s="52">
        <f t="shared" si="7"/>
        <v>0.05019014536</v>
      </c>
      <c r="D13" s="52">
        <f t="shared" si="7"/>
        <v>0.05902447094</v>
      </c>
      <c r="E13" s="52">
        <f t="shared" si="7"/>
        <v>0.06275833243</v>
      </c>
      <c r="F13" s="52">
        <f t="shared" si="7"/>
        <v>0.06582365357</v>
      </c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54"/>
      <c r="AF13" s="54"/>
    </row>
    <row r="14">
      <c r="A14" s="32" t="s">
        <v>820</v>
      </c>
      <c r="B14" s="33">
        <v>694.0</v>
      </c>
      <c r="C14" s="33">
        <v>1986.0</v>
      </c>
      <c r="D14" s="33">
        <v>3923.0</v>
      </c>
      <c r="E14" s="33">
        <v>4462.0</v>
      </c>
      <c r="F14" s="33">
        <v>4725.0</v>
      </c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</row>
    <row r="15">
      <c r="A15" s="32" t="s">
        <v>821</v>
      </c>
      <c r="B15" s="33">
        <f t="shared" ref="B15:F15" si="8">B12-B14</f>
        <v>5971</v>
      </c>
      <c r="C15" s="33">
        <f t="shared" si="8"/>
        <v>6553</v>
      </c>
      <c r="D15" s="33">
        <f t="shared" si="8"/>
        <v>9278</v>
      </c>
      <c r="E15" s="33">
        <f t="shared" si="8"/>
        <v>11754</v>
      </c>
      <c r="F15" s="33">
        <f t="shared" si="8"/>
        <v>13114</v>
      </c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</row>
    <row r="16">
      <c r="A16" s="32" t="s">
        <v>822</v>
      </c>
      <c r="B16" s="33">
        <v>296.0</v>
      </c>
      <c r="C16" s="33">
        <v>22.0</v>
      </c>
      <c r="D16" s="33">
        <v>110.0</v>
      </c>
      <c r="E16" s="33">
        <v>86.0</v>
      </c>
      <c r="F16" s="33">
        <v>215.0</v>
      </c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4"/>
    </row>
    <row r="17">
      <c r="A17" s="32" t="s">
        <v>823</v>
      </c>
      <c r="B17" s="33">
        <f t="shared" ref="B17:F17" si="9">B15+B16</f>
        <v>6267</v>
      </c>
      <c r="C17" s="33">
        <f t="shared" si="9"/>
        <v>6575</v>
      </c>
      <c r="D17" s="33">
        <f t="shared" si="9"/>
        <v>9388</v>
      </c>
      <c r="E17" s="33">
        <f t="shared" si="9"/>
        <v>11840</v>
      </c>
      <c r="F17" s="33">
        <f t="shared" si="9"/>
        <v>13329</v>
      </c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</row>
    <row r="18">
      <c r="A18" s="32" t="s">
        <v>824</v>
      </c>
      <c r="B18" s="33">
        <f t="shared" ref="B18:F18" si="10">B17-B19</f>
        <v>1668</v>
      </c>
      <c r="C18" s="33">
        <f t="shared" si="10"/>
        <v>1637</v>
      </c>
      <c r="D18" s="33">
        <f t="shared" si="10"/>
        <v>2343</v>
      </c>
      <c r="E18" s="33">
        <f t="shared" si="10"/>
        <v>2965</v>
      </c>
      <c r="F18" s="33">
        <f t="shared" si="10"/>
        <v>3356</v>
      </c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</row>
    <row r="19">
      <c r="A19" s="32" t="s">
        <v>799</v>
      </c>
      <c r="B19" s="33">
        <v>4599.0</v>
      </c>
      <c r="C19" s="33">
        <v>4938.0</v>
      </c>
      <c r="D19" s="33">
        <v>7045.0</v>
      </c>
      <c r="E19" s="33">
        <v>8875.0</v>
      </c>
      <c r="F19" s="33">
        <v>9973.0</v>
      </c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</row>
    <row r="20">
      <c r="A20" s="34" t="s">
        <v>800</v>
      </c>
      <c r="B20" s="52"/>
      <c r="C20" s="52">
        <f t="shared" ref="C20:F20" si="11">(C19-B19)/C19</f>
        <v>0.06865127582</v>
      </c>
      <c r="D20" s="52">
        <f t="shared" si="11"/>
        <v>0.2990773598</v>
      </c>
      <c r="E20" s="52">
        <f t="shared" si="11"/>
        <v>0.2061971831</v>
      </c>
      <c r="F20" s="52">
        <f t="shared" si="11"/>
        <v>0.1100972626</v>
      </c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  <c r="AC20" s="54"/>
      <c r="AD20" s="54"/>
      <c r="AE20" s="54"/>
      <c r="AF20" s="54"/>
    </row>
    <row r="21">
      <c r="A21" s="32" t="s">
        <v>801</v>
      </c>
      <c r="B21" s="58">
        <v>4.93</v>
      </c>
      <c r="C21" s="58">
        <v>5.3</v>
      </c>
      <c r="D21" s="58">
        <v>7.55</v>
      </c>
      <c r="E21" s="58">
        <v>10.86</v>
      </c>
      <c r="F21" s="58">
        <v>9.94</v>
      </c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4"/>
      <c r="AF21" s="54"/>
    </row>
    <row r="22"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54"/>
      <c r="AF22" s="54"/>
    </row>
    <row r="23">
      <c r="B23" s="54" t="s">
        <v>850</v>
      </c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</row>
    <row r="24">
      <c r="A24" s="32" t="s">
        <v>794</v>
      </c>
      <c r="B24" s="59" t="s">
        <v>851</v>
      </c>
      <c r="C24" s="59" t="s">
        <v>852</v>
      </c>
      <c r="D24" s="59" t="s">
        <v>853</v>
      </c>
      <c r="E24" s="59" t="s">
        <v>854</v>
      </c>
      <c r="F24" s="59" t="s">
        <v>855</v>
      </c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</row>
    <row r="25">
      <c r="A25" s="32" t="s">
        <v>795</v>
      </c>
      <c r="B25" s="33">
        <v>4452.44</v>
      </c>
      <c r="C25" s="55">
        <v>5588.51</v>
      </c>
      <c r="D25" s="33">
        <v>7586.04</v>
      </c>
      <c r="E25" s="33">
        <v>8911.95</v>
      </c>
      <c r="F25" s="33">
        <v>10716.34</v>
      </c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</row>
    <row r="26">
      <c r="A26" s="34" t="s">
        <v>796</v>
      </c>
      <c r="B26" s="52"/>
      <c r="C26" s="52">
        <f t="shared" ref="C26:F26" si="12">(C25-B25)/C25</f>
        <v>0.2032867437</v>
      </c>
      <c r="D26" s="52">
        <f t="shared" si="12"/>
        <v>0.2633165657</v>
      </c>
      <c r="E26" s="52">
        <f t="shared" si="12"/>
        <v>0.1487788868</v>
      </c>
      <c r="F26" s="52">
        <f t="shared" si="12"/>
        <v>0.1683774498</v>
      </c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4"/>
      <c r="AC26" s="54"/>
      <c r="AD26" s="54"/>
      <c r="AE26" s="54"/>
      <c r="AF26" s="54"/>
    </row>
    <row r="27">
      <c r="A27" s="32" t="s">
        <v>825</v>
      </c>
      <c r="B27" s="33">
        <v>3225.81</v>
      </c>
      <c r="C27" s="33">
        <v>4014.61</v>
      </c>
      <c r="D27" s="33">
        <v>5526.33</v>
      </c>
      <c r="E27" s="33">
        <v>6446.06</v>
      </c>
      <c r="F27" s="33">
        <v>7663.62</v>
      </c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</row>
    <row r="28">
      <c r="A28" s="32" t="s">
        <v>826</v>
      </c>
      <c r="B28" s="33">
        <f t="shared" ref="B28:F28" si="13">B25-B27</f>
        <v>1226.63</v>
      </c>
      <c r="C28" s="33">
        <f t="shared" si="13"/>
        <v>1573.9</v>
      </c>
      <c r="D28" s="33">
        <f t="shared" si="13"/>
        <v>2059.71</v>
      </c>
      <c r="E28" s="33">
        <f t="shared" si="13"/>
        <v>2465.89</v>
      </c>
      <c r="F28" s="33">
        <f t="shared" si="13"/>
        <v>3052.72</v>
      </c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  <c r="AC28" s="54"/>
      <c r="AD28" s="54"/>
      <c r="AE28" s="54"/>
      <c r="AF28" s="54"/>
    </row>
    <row r="29">
      <c r="A29" s="32" t="s">
        <v>848</v>
      </c>
      <c r="B29" s="52">
        <f t="shared" ref="B29:F29" si="14">B28/B25</f>
        <v>0.2754961325</v>
      </c>
      <c r="C29" s="52">
        <f t="shared" si="14"/>
        <v>0.2816314188</v>
      </c>
      <c r="D29" s="52">
        <f t="shared" si="14"/>
        <v>0.2715132006</v>
      </c>
      <c r="E29" s="52">
        <f t="shared" si="14"/>
        <v>0.276694775</v>
      </c>
      <c r="F29" s="52">
        <f t="shared" si="14"/>
        <v>0.284865915</v>
      </c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4"/>
      <c r="AC29" s="54"/>
      <c r="AD29" s="54"/>
      <c r="AE29" s="54"/>
      <c r="AF29" s="54"/>
    </row>
    <row r="30">
      <c r="A30" s="32" t="s">
        <v>849</v>
      </c>
      <c r="B30" s="33">
        <v>616.92</v>
      </c>
      <c r="C30" s="33">
        <v>770.23</v>
      </c>
      <c r="D30" s="33">
        <v>1039.19</v>
      </c>
      <c r="E30" s="33">
        <v>1217.3</v>
      </c>
      <c r="F30" s="33">
        <v>1522.54</v>
      </c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  <c r="AB30" s="54"/>
      <c r="AC30" s="54"/>
      <c r="AD30" s="54"/>
      <c r="AE30" s="54"/>
      <c r="AF30" s="54"/>
    </row>
    <row r="31">
      <c r="A31" s="32" t="s">
        <v>797</v>
      </c>
      <c r="B31" s="33">
        <f t="shared" ref="B31:F31" si="15">B25-(B30+B27)</f>
        <v>609.71</v>
      </c>
      <c r="C31" s="33">
        <f t="shared" si="15"/>
        <v>803.67</v>
      </c>
      <c r="D31" s="33">
        <f t="shared" si="15"/>
        <v>1020.52</v>
      </c>
      <c r="E31" s="33">
        <f t="shared" si="15"/>
        <v>1248.59</v>
      </c>
      <c r="F31" s="33">
        <f t="shared" si="15"/>
        <v>1530.18</v>
      </c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4"/>
      <c r="AD31" s="54"/>
      <c r="AE31" s="54"/>
      <c r="AF31" s="54"/>
    </row>
    <row r="32">
      <c r="A32" s="34" t="s">
        <v>798</v>
      </c>
      <c r="B32" s="52">
        <f t="shared" ref="B32:F32" si="16">B31/B25</f>
        <v>0.1369383978</v>
      </c>
      <c r="C32" s="52">
        <f t="shared" si="16"/>
        <v>0.1438075623</v>
      </c>
      <c r="D32" s="52">
        <f t="shared" si="16"/>
        <v>0.1345260505</v>
      </c>
      <c r="E32" s="52">
        <f t="shared" si="16"/>
        <v>0.1401028956</v>
      </c>
      <c r="F32" s="52">
        <f t="shared" si="16"/>
        <v>0.1427894225</v>
      </c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4"/>
      <c r="AC32" s="54"/>
      <c r="AD32" s="54"/>
      <c r="AE32" s="54"/>
      <c r="AF32" s="54"/>
    </row>
    <row r="33">
      <c r="A33" s="32" t="s">
        <v>817</v>
      </c>
      <c r="B33" s="33">
        <v>346.14</v>
      </c>
      <c r="C33" s="33">
        <v>405.56</v>
      </c>
      <c r="D33" s="33">
        <v>461.44</v>
      </c>
      <c r="E33" s="33">
        <v>517.29</v>
      </c>
      <c r="F33" s="33">
        <v>590.23</v>
      </c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</row>
    <row r="34">
      <c r="A34" s="32" t="s">
        <v>818</v>
      </c>
      <c r="B34" s="33">
        <f t="shared" ref="B34:F34" si="17">B31-B33</f>
        <v>263.57</v>
      </c>
      <c r="C34" s="33">
        <f t="shared" si="17"/>
        <v>398.11</v>
      </c>
      <c r="D34" s="33">
        <f t="shared" si="17"/>
        <v>559.08</v>
      </c>
      <c r="E34" s="33">
        <f t="shared" si="17"/>
        <v>731.3</v>
      </c>
      <c r="F34" s="33">
        <f t="shared" si="17"/>
        <v>939.95</v>
      </c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  <c r="AC34" s="54"/>
      <c r="AD34" s="54"/>
      <c r="AE34" s="54"/>
      <c r="AF34" s="54"/>
    </row>
    <row r="35">
      <c r="A35" s="34" t="s">
        <v>819</v>
      </c>
      <c r="B35" s="52">
        <f t="shared" ref="B35:F35" si="18">B34/B25</f>
        <v>0.05919675504</v>
      </c>
      <c r="C35" s="52">
        <f t="shared" si="18"/>
        <v>0.07123723497</v>
      </c>
      <c r="D35" s="52">
        <f t="shared" si="18"/>
        <v>0.07369853046</v>
      </c>
      <c r="E35" s="52">
        <f t="shared" si="18"/>
        <v>0.08205835984</v>
      </c>
      <c r="F35" s="52">
        <f t="shared" si="18"/>
        <v>0.08771184938</v>
      </c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4"/>
      <c r="AC35" s="54"/>
      <c r="AD35" s="54"/>
      <c r="AE35" s="54"/>
      <c r="AF35" s="54"/>
    </row>
    <row r="36">
      <c r="A36" s="32" t="s">
        <v>820</v>
      </c>
      <c r="B36" s="33">
        <v>216.61</v>
      </c>
      <c r="C36" s="33">
        <v>193.8</v>
      </c>
      <c r="D36" s="33">
        <v>161.4</v>
      </c>
      <c r="E36" s="33">
        <v>143.53</v>
      </c>
      <c r="F36" s="33">
        <v>149.2</v>
      </c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  <c r="AC36" s="54"/>
      <c r="AD36" s="54"/>
      <c r="AE36" s="54"/>
      <c r="AF36" s="54"/>
    </row>
    <row r="37">
      <c r="A37" s="32" t="s">
        <v>821</v>
      </c>
      <c r="B37" s="33">
        <f t="shared" ref="B37:F37" si="19">B34-B36</f>
        <v>46.96</v>
      </c>
      <c r="C37" s="33">
        <f t="shared" si="19"/>
        <v>204.31</v>
      </c>
      <c r="D37" s="33">
        <f t="shared" si="19"/>
        <v>397.68</v>
      </c>
      <c r="E37" s="33">
        <f t="shared" si="19"/>
        <v>587.77</v>
      </c>
      <c r="F37" s="33">
        <f t="shared" si="19"/>
        <v>790.75</v>
      </c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  <c r="AE37" s="54"/>
      <c r="AF37" s="54"/>
    </row>
    <row r="38">
      <c r="A38" s="32" t="s">
        <v>822</v>
      </c>
      <c r="B38" s="33">
        <v>116.39</v>
      </c>
      <c r="C38" s="33">
        <v>65.33</v>
      </c>
      <c r="D38" s="33">
        <v>32.86</v>
      </c>
      <c r="E38" s="33">
        <v>33.18</v>
      </c>
      <c r="F38" s="33">
        <v>58.55</v>
      </c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  <c r="AE38" s="54"/>
      <c r="AF38" s="54"/>
    </row>
    <row r="39">
      <c r="A39" s="32" t="s">
        <v>823</v>
      </c>
      <c r="B39" s="33">
        <f t="shared" ref="B39:F39" si="20">B37+B38</f>
        <v>163.35</v>
      </c>
      <c r="C39" s="33">
        <f t="shared" si="20"/>
        <v>269.64</v>
      </c>
      <c r="D39" s="33">
        <f t="shared" si="20"/>
        <v>430.54</v>
      </c>
      <c r="E39" s="33">
        <f t="shared" si="20"/>
        <v>620.95</v>
      </c>
      <c r="F39" s="33">
        <f t="shared" si="20"/>
        <v>849.3</v>
      </c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  <c r="AE39" s="54"/>
      <c r="AF39" s="54"/>
    </row>
    <row r="40">
      <c r="A40" s="32" t="s">
        <v>824</v>
      </c>
      <c r="B40" s="33">
        <v>44.76</v>
      </c>
      <c r="C40" s="33">
        <v>66.88</v>
      </c>
      <c r="D40" s="33">
        <v>109.26</v>
      </c>
      <c r="E40" s="33">
        <v>159.02</v>
      </c>
      <c r="F40" s="33">
        <v>217.32</v>
      </c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  <c r="AE40" s="54"/>
      <c r="AF40" s="54"/>
    </row>
    <row r="41">
      <c r="A41" s="32" t="s">
        <v>799</v>
      </c>
      <c r="B41" s="33">
        <f t="shared" ref="B41:F41" si="21">B39-B40</f>
        <v>118.59</v>
      </c>
      <c r="C41" s="33">
        <f t="shared" si="21"/>
        <v>202.76</v>
      </c>
      <c r="D41" s="33">
        <f t="shared" si="21"/>
        <v>321.28</v>
      </c>
      <c r="E41" s="33">
        <f t="shared" si="21"/>
        <v>461.93</v>
      </c>
      <c r="F41" s="33">
        <f t="shared" si="21"/>
        <v>631.98</v>
      </c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  <c r="AF41" s="54"/>
    </row>
    <row r="42">
      <c r="A42" s="34" t="s">
        <v>800</v>
      </c>
      <c r="B42" s="52"/>
      <c r="C42" s="52">
        <f t="shared" ref="C42:F42" si="22">(C41-B41)/C41</f>
        <v>0.4151213257</v>
      </c>
      <c r="D42" s="52">
        <f t="shared" si="22"/>
        <v>0.3688994024</v>
      </c>
      <c r="E42" s="52">
        <f t="shared" si="22"/>
        <v>0.3044833633</v>
      </c>
      <c r="F42" s="52">
        <f t="shared" si="22"/>
        <v>0.2690749707</v>
      </c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  <c r="AE42" s="54"/>
      <c r="AF42" s="54"/>
    </row>
    <row r="43">
      <c r="A43" s="32" t="s">
        <v>801</v>
      </c>
      <c r="B43" s="58">
        <v>0.26</v>
      </c>
      <c r="C43" s="58">
        <v>0.45</v>
      </c>
      <c r="D43" s="58">
        <v>0.7</v>
      </c>
      <c r="E43" s="58">
        <v>1.01</v>
      </c>
      <c r="F43" s="58">
        <v>1.36</v>
      </c>
    </row>
    <row r="45">
      <c r="B45" s="54" t="s">
        <v>856</v>
      </c>
    </row>
    <row r="46">
      <c r="A46" s="32" t="s">
        <v>794</v>
      </c>
      <c r="B46" s="41">
        <v>44256.0</v>
      </c>
      <c r="C46" s="41">
        <v>44621.0</v>
      </c>
      <c r="D46" s="41">
        <v>44986.0</v>
      </c>
      <c r="E46" s="41">
        <v>45352.0</v>
      </c>
      <c r="F46" s="42">
        <v>45717.0</v>
      </c>
    </row>
    <row r="47">
      <c r="A47" s="32" t="s">
        <v>795</v>
      </c>
      <c r="B47" s="33">
        <v>1075.46</v>
      </c>
      <c r="C47" s="55">
        <v>1666.17</v>
      </c>
      <c r="D47" s="33">
        <v>2464.83</v>
      </c>
      <c r="E47" s="33">
        <v>2785.6</v>
      </c>
      <c r="F47" s="33">
        <v>3253.86</v>
      </c>
    </row>
    <row r="48">
      <c r="A48" s="34" t="s">
        <v>796</v>
      </c>
      <c r="B48" s="52"/>
      <c r="C48" s="52">
        <f t="shared" ref="C48:F48" si="23">(C47-B47)/C47</f>
        <v>0.3545316504</v>
      </c>
      <c r="D48" s="52">
        <f t="shared" si="23"/>
        <v>0.3240223464</v>
      </c>
      <c r="E48" s="52">
        <f t="shared" si="23"/>
        <v>0.1151529294</v>
      </c>
      <c r="F48" s="52">
        <f t="shared" si="23"/>
        <v>0.1439090803</v>
      </c>
    </row>
    <row r="49">
      <c r="A49" s="32" t="s">
        <v>825</v>
      </c>
      <c r="B49" s="33">
        <v>723.56</v>
      </c>
      <c r="C49" s="33">
        <v>1091.11</v>
      </c>
      <c r="D49" s="33">
        <v>1595.09</v>
      </c>
      <c r="E49" s="33">
        <v>1825.09</v>
      </c>
      <c r="F49" s="33">
        <v>2129.72</v>
      </c>
    </row>
    <row r="50">
      <c r="A50" s="32" t="s">
        <v>826</v>
      </c>
      <c r="B50" s="33">
        <f t="shared" ref="B50:F50" si="24">B47-B49</f>
        <v>351.9</v>
      </c>
      <c r="C50" s="33">
        <f t="shared" si="24"/>
        <v>575.06</v>
      </c>
      <c r="D50" s="33">
        <f t="shared" si="24"/>
        <v>869.74</v>
      </c>
      <c r="E50" s="33">
        <f t="shared" si="24"/>
        <v>960.51</v>
      </c>
      <c r="F50" s="33">
        <f t="shared" si="24"/>
        <v>1124.14</v>
      </c>
    </row>
    <row r="51">
      <c r="A51" s="32" t="s">
        <v>848</v>
      </c>
      <c r="B51" s="52">
        <f t="shared" ref="B51:F51" si="25">B50/B47</f>
        <v>0.3272088223</v>
      </c>
      <c r="C51" s="52">
        <f t="shared" si="25"/>
        <v>0.3451388514</v>
      </c>
      <c r="D51" s="52">
        <f t="shared" si="25"/>
        <v>0.352860035</v>
      </c>
      <c r="E51" s="52">
        <f t="shared" si="25"/>
        <v>0.3448126077</v>
      </c>
      <c r="F51" s="52">
        <f t="shared" si="25"/>
        <v>0.3454789081</v>
      </c>
    </row>
    <row r="52">
      <c r="A52" s="32" t="s">
        <v>849</v>
      </c>
      <c r="B52" s="33">
        <v>220.67</v>
      </c>
      <c r="C52" s="33">
        <v>370.73</v>
      </c>
      <c r="D52" s="33">
        <v>598.82</v>
      </c>
      <c r="E52" s="33">
        <v>747.46</v>
      </c>
      <c r="F52" s="33">
        <v>747.15</v>
      </c>
    </row>
    <row r="53">
      <c r="A53" s="32" t="s">
        <v>797</v>
      </c>
      <c r="B53" s="33">
        <f t="shared" ref="B53:F53" si="26">B47-(B52+B49)</f>
        <v>131.23</v>
      </c>
      <c r="C53" s="33">
        <f t="shared" si="26"/>
        <v>204.33</v>
      </c>
      <c r="D53" s="33">
        <f t="shared" si="26"/>
        <v>270.92</v>
      </c>
      <c r="E53" s="33">
        <f t="shared" si="26"/>
        <v>213.05</v>
      </c>
      <c r="F53" s="33">
        <f t="shared" si="26"/>
        <v>376.99</v>
      </c>
    </row>
    <row r="54">
      <c r="A54" s="34" t="s">
        <v>798</v>
      </c>
      <c r="B54" s="52">
        <f t="shared" ref="B54:F54" si="27">B53/B47</f>
        <v>0.1220222045</v>
      </c>
      <c r="C54" s="52">
        <f t="shared" si="27"/>
        <v>0.1226345451</v>
      </c>
      <c r="D54" s="52">
        <f t="shared" si="27"/>
        <v>0.109914274</v>
      </c>
      <c r="E54" s="52">
        <f t="shared" si="27"/>
        <v>0.07648262493</v>
      </c>
      <c r="F54" s="52">
        <f t="shared" si="27"/>
        <v>0.1158593179</v>
      </c>
    </row>
    <row r="55">
      <c r="A55" s="32" t="s">
        <v>817</v>
      </c>
      <c r="B55" s="33">
        <v>102.97</v>
      </c>
      <c r="C55" s="33">
        <v>130.69</v>
      </c>
      <c r="D55" s="33">
        <v>179.98</v>
      </c>
      <c r="E55" s="33">
        <v>222.13</v>
      </c>
      <c r="F55" s="33">
        <v>232.99</v>
      </c>
    </row>
    <row r="56">
      <c r="A56" s="32" t="s">
        <v>818</v>
      </c>
      <c r="B56" s="33">
        <f t="shared" ref="B56:F56" si="28">B53-B55</f>
        <v>28.26</v>
      </c>
      <c r="C56" s="33">
        <f t="shared" si="28"/>
        <v>73.64</v>
      </c>
      <c r="D56" s="33">
        <f t="shared" si="28"/>
        <v>90.94</v>
      </c>
      <c r="E56" s="33">
        <f t="shared" si="28"/>
        <v>-9.08</v>
      </c>
      <c r="F56" s="33">
        <f t="shared" si="28"/>
        <v>144</v>
      </c>
    </row>
    <row r="57">
      <c r="A57" s="34" t="s">
        <v>819</v>
      </c>
      <c r="B57" s="52">
        <f t="shared" ref="B57:F57" si="29">B56/B47</f>
        <v>0.02627712793</v>
      </c>
      <c r="C57" s="52">
        <f t="shared" si="29"/>
        <v>0.04419717076</v>
      </c>
      <c r="D57" s="52">
        <f t="shared" si="29"/>
        <v>0.03689503941</v>
      </c>
      <c r="E57" s="52">
        <f t="shared" si="29"/>
        <v>-0.003259620908</v>
      </c>
      <c r="F57" s="52">
        <f t="shared" si="29"/>
        <v>0.04425513083</v>
      </c>
    </row>
    <row r="58">
      <c r="A58" s="32" t="s">
        <v>820</v>
      </c>
      <c r="B58" s="33">
        <v>58.94</v>
      </c>
      <c r="C58" s="33">
        <v>77.19</v>
      </c>
      <c r="D58" s="33">
        <v>116.91</v>
      </c>
      <c r="E58" s="33">
        <v>142.37</v>
      </c>
      <c r="F58" s="33">
        <v>136.46</v>
      </c>
    </row>
    <row r="59">
      <c r="A59" s="32" t="s">
        <v>821</v>
      </c>
      <c r="B59" s="33">
        <f t="shared" ref="B59:F59" si="30">B56-B58</f>
        <v>-30.68</v>
      </c>
      <c r="C59" s="33">
        <f t="shared" si="30"/>
        <v>-3.55</v>
      </c>
      <c r="D59" s="33">
        <f t="shared" si="30"/>
        <v>-25.97</v>
      </c>
      <c r="E59" s="33">
        <f t="shared" si="30"/>
        <v>-151.45</v>
      </c>
      <c r="F59" s="33">
        <f t="shared" si="30"/>
        <v>7.54</v>
      </c>
    </row>
    <row r="60">
      <c r="A60" s="32" t="s">
        <v>822</v>
      </c>
      <c r="B60" s="33">
        <v>21.03</v>
      </c>
      <c r="C60" s="33">
        <v>13.95</v>
      </c>
      <c r="D60" s="33">
        <v>14.95</v>
      </c>
      <c r="E60" s="33">
        <v>20.95</v>
      </c>
      <c r="F60" s="33">
        <v>12.12</v>
      </c>
    </row>
    <row r="61">
      <c r="A61" s="32" t="s">
        <v>823</v>
      </c>
      <c r="B61" s="33">
        <f t="shared" ref="B61:F61" si="31">B59+B60</f>
        <v>-9.65</v>
      </c>
      <c r="C61" s="33">
        <f t="shared" si="31"/>
        <v>10.4</v>
      </c>
      <c r="D61" s="33">
        <f t="shared" si="31"/>
        <v>-11.02</v>
      </c>
      <c r="E61" s="33">
        <f t="shared" si="31"/>
        <v>-130.5</v>
      </c>
      <c r="F61" s="33">
        <f t="shared" si="31"/>
        <v>19.66</v>
      </c>
    </row>
    <row r="62">
      <c r="A62" s="32" t="s">
        <v>824</v>
      </c>
      <c r="B62" s="33">
        <v>-3.46</v>
      </c>
      <c r="C62" s="33">
        <v>-1.24</v>
      </c>
      <c r="D62" s="33">
        <v>-5.16</v>
      </c>
      <c r="E62" s="33">
        <v>-33.74</v>
      </c>
      <c r="F62" s="33">
        <v>-1.81</v>
      </c>
    </row>
    <row r="63">
      <c r="A63" s="32" t="s">
        <v>799</v>
      </c>
      <c r="B63" s="33">
        <f t="shared" ref="B63:F63" si="32">B61-B62</f>
        <v>-6.19</v>
      </c>
      <c r="C63" s="33">
        <f t="shared" si="32"/>
        <v>11.64</v>
      </c>
      <c r="D63" s="33">
        <f t="shared" si="32"/>
        <v>-5.86</v>
      </c>
      <c r="E63" s="33">
        <f t="shared" si="32"/>
        <v>-96.76</v>
      </c>
      <c r="F63" s="33">
        <f t="shared" si="32"/>
        <v>21.47</v>
      </c>
    </row>
    <row r="64">
      <c r="A64" s="34" t="s">
        <v>800</v>
      </c>
      <c r="B64" s="52"/>
      <c r="C64" s="52">
        <f t="shared" ref="C64:F64" si="33">(C63-B63)/ABS(C63)</f>
        <v>1.531786942</v>
      </c>
      <c r="D64" s="52">
        <f t="shared" si="33"/>
        <v>-2.986348123</v>
      </c>
      <c r="E64" s="52">
        <f t="shared" si="33"/>
        <v>-0.9394377842</v>
      </c>
      <c r="F64" s="52">
        <f t="shared" si="33"/>
        <v>5.50675361</v>
      </c>
    </row>
    <row r="65">
      <c r="A65" s="32" t="s">
        <v>801</v>
      </c>
      <c r="B65" s="58">
        <v>-3.35</v>
      </c>
      <c r="C65" s="58">
        <v>5.88</v>
      </c>
      <c r="D65" s="58">
        <v>-3.97</v>
      </c>
      <c r="E65" s="58">
        <v>-48.93</v>
      </c>
      <c r="F65" s="58">
        <v>22.89</v>
      </c>
    </row>
  </sheetData>
  <mergeCells count="3">
    <mergeCell ref="B1:F1"/>
    <mergeCell ref="B23:F23"/>
    <mergeCell ref="B45:F45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  <col customWidth="1" min="12" max="12" width="20.25"/>
  </cols>
  <sheetData>
    <row r="1">
      <c r="A1" s="32" t="s">
        <v>794</v>
      </c>
      <c r="B1" s="40">
        <v>42795.0</v>
      </c>
      <c r="C1" s="40">
        <v>43160.0</v>
      </c>
      <c r="D1" s="40">
        <v>43525.0</v>
      </c>
      <c r="E1" s="41">
        <v>43891.0</v>
      </c>
      <c r="F1" s="41">
        <v>44256.0</v>
      </c>
      <c r="G1" s="41">
        <v>44621.0</v>
      </c>
      <c r="H1" s="41">
        <v>44986.0</v>
      </c>
      <c r="I1" s="41">
        <v>45352.0</v>
      </c>
      <c r="J1" s="42">
        <v>45717.0</v>
      </c>
    </row>
    <row r="2">
      <c r="A2" s="60" t="s">
        <v>857</v>
      </c>
      <c r="B2" s="33">
        <v>624.08</v>
      </c>
      <c r="C2" s="33">
        <v>624.08</v>
      </c>
      <c r="D2" s="55">
        <v>624.08</v>
      </c>
      <c r="E2" s="55">
        <v>647.77</v>
      </c>
      <c r="F2" s="55">
        <v>647.77</v>
      </c>
      <c r="G2" s="33">
        <v>647.77</v>
      </c>
      <c r="H2" s="33">
        <v>648.26</v>
      </c>
      <c r="I2" s="33">
        <v>650.73</v>
      </c>
      <c r="J2" s="33">
        <v>650.73</v>
      </c>
    </row>
    <row r="3">
      <c r="A3" s="60" t="s">
        <v>858</v>
      </c>
      <c r="B3" s="33">
        <v>3217.7</v>
      </c>
      <c r="C3" s="33">
        <v>4044.97</v>
      </c>
      <c r="D3" s="55">
        <v>4963.37</v>
      </c>
      <c r="E3" s="55">
        <v>10431.97</v>
      </c>
      <c r="F3" s="33">
        <v>11535.94</v>
      </c>
      <c r="G3" s="33">
        <v>13029.87</v>
      </c>
      <c r="H3" s="33">
        <v>15430.44</v>
      </c>
      <c r="I3" s="33">
        <v>18047.09</v>
      </c>
      <c r="J3" s="33">
        <v>20777.03</v>
      </c>
      <c r="L3" s="55"/>
    </row>
    <row r="4">
      <c r="A4" s="60" t="s">
        <v>859</v>
      </c>
      <c r="B4" s="33">
        <f>980.92+138.84</f>
        <v>1119.76</v>
      </c>
      <c r="C4" s="33">
        <f>246+7.25</f>
        <v>253.25</v>
      </c>
      <c r="D4" s="33">
        <v>429.82</v>
      </c>
      <c r="E4" s="33">
        <v>299.19</v>
      </c>
      <c r="F4" s="33">
        <v>392.71</v>
      </c>
      <c r="G4" s="33">
        <v>646.94</v>
      </c>
      <c r="H4" s="33">
        <v>642.98</v>
      </c>
      <c r="I4" s="33">
        <v>592.16</v>
      </c>
      <c r="J4" s="33">
        <v>819.62</v>
      </c>
    </row>
    <row r="5">
      <c r="A5" s="60" t="s">
        <v>860</v>
      </c>
      <c r="B5" s="33">
        <v>260.66</v>
      </c>
      <c r="C5" s="33">
        <f>1.17+316.11</f>
        <v>317.28</v>
      </c>
      <c r="D5" s="33">
        <v>463.27</v>
      </c>
      <c r="E5" s="33">
        <v>433.45</v>
      </c>
      <c r="F5" s="33">
        <v>578.13</v>
      </c>
      <c r="G5" s="33">
        <v>589.2</v>
      </c>
      <c r="H5" s="33">
        <v>753.79</v>
      </c>
      <c r="I5" s="33">
        <v>984.81</v>
      </c>
      <c r="J5" s="33">
        <v>1070.81</v>
      </c>
    </row>
    <row r="6">
      <c r="A6" s="60" t="s">
        <v>861</v>
      </c>
      <c r="B6" s="33">
        <f t="shared" ref="B6:J6" si="1">B7-(SUM(B2:B5))</f>
        <v>597.15</v>
      </c>
      <c r="C6" s="33">
        <f t="shared" si="1"/>
        <v>372.89</v>
      </c>
      <c r="D6" s="33">
        <f t="shared" si="1"/>
        <v>525.18</v>
      </c>
      <c r="E6" s="33">
        <f t="shared" si="1"/>
        <v>264.07</v>
      </c>
      <c r="F6" s="33">
        <f t="shared" si="1"/>
        <v>501.42</v>
      </c>
      <c r="G6" s="33">
        <f t="shared" si="1"/>
        <v>558.86</v>
      </c>
      <c r="H6" s="33">
        <f t="shared" si="1"/>
        <v>630.82</v>
      </c>
      <c r="I6" s="33">
        <f t="shared" si="1"/>
        <v>902.41</v>
      </c>
      <c r="J6" s="33">
        <f t="shared" si="1"/>
        <v>1002.1</v>
      </c>
      <c r="L6" s="61"/>
      <c r="M6" s="53">
        <v>42795.0</v>
      </c>
      <c r="N6" s="53">
        <v>43160.0</v>
      </c>
      <c r="O6" s="53">
        <v>43525.0</v>
      </c>
      <c r="P6" s="8">
        <v>43891.0</v>
      </c>
      <c r="Q6" s="8">
        <v>44256.0</v>
      </c>
      <c r="R6" s="8">
        <v>44621.0</v>
      </c>
      <c r="S6" s="8">
        <v>44986.0</v>
      </c>
      <c r="T6" s="8">
        <v>45352.0</v>
      </c>
      <c r="U6" s="9">
        <v>45717.0</v>
      </c>
    </row>
    <row r="7">
      <c r="A7" s="62" t="s">
        <v>862</v>
      </c>
      <c r="B7" s="63">
        <v>5819.35</v>
      </c>
      <c r="C7" s="63">
        <v>5612.47</v>
      </c>
      <c r="D7" s="64">
        <v>7005.72</v>
      </c>
      <c r="E7" s="64">
        <v>12076.45</v>
      </c>
      <c r="F7" s="63">
        <v>13655.97</v>
      </c>
      <c r="G7" s="63">
        <v>15472.64</v>
      </c>
      <c r="H7" s="63">
        <v>18106.29</v>
      </c>
      <c r="I7" s="63">
        <v>21177.2</v>
      </c>
      <c r="J7" s="63">
        <v>24320.29</v>
      </c>
      <c r="L7" s="61" t="s">
        <v>863</v>
      </c>
      <c r="M7" s="10">
        <v>944.35</v>
      </c>
      <c r="N7" s="10">
        <v>685.95</v>
      </c>
      <c r="O7" s="10">
        <v>1226.92</v>
      </c>
      <c r="P7" s="10">
        <v>725.8</v>
      </c>
      <c r="Q7" s="10">
        <v>1105.77</v>
      </c>
      <c r="R7" s="10">
        <v>1218.29</v>
      </c>
      <c r="S7" s="10">
        <v>1467.01</v>
      </c>
      <c r="T7" s="10">
        <v>1979.14</v>
      </c>
      <c r="U7" s="10">
        <v>2212.16</v>
      </c>
    </row>
    <row r="8">
      <c r="A8" s="32"/>
      <c r="B8" s="33"/>
      <c r="C8" s="33"/>
      <c r="D8" s="33"/>
      <c r="E8" s="33"/>
      <c r="F8" s="33"/>
      <c r="G8" s="33"/>
      <c r="H8" s="33"/>
      <c r="I8" s="33"/>
      <c r="J8" s="33"/>
      <c r="L8" s="61" t="s">
        <v>864</v>
      </c>
      <c r="M8" s="65">
        <f t="shared" ref="M8:U8" si="2">B19-M7</f>
        <v>4875</v>
      </c>
      <c r="N8" s="65">
        <f t="shared" si="2"/>
        <v>4926.52</v>
      </c>
      <c r="O8" s="65">
        <f t="shared" si="2"/>
        <v>5778.8</v>
      </c>
      <c r="P8" s="65">
        <f t="shared" si="2"/>
        <v>11350.65</v>
      </c>
      <c r="Q8" s="65">
        <f t="shared" si="2"/>
        <v>12550.2</v>
      </c>
      <c r="R8" s="65">
        <f t="shared" si="2"/>
        <v>14254.35</v>
      </c>
      <c r="S8" s="65">
        <f t="shared" si="2"/>
        <v>16639.28</v>
      </c>
      <c r="T8" s="65">
        <f t="shared" si="2"/>
        <v>19198.06</v>
      </c>
      <c r="U8" s="65">
        <f t="shared" si="2"/>
        <v>22108.13</v>
      </c>
    </row>
    <row r="9">
      <c r="A9" s="60" t="s">
        <v>830</v>
      </c>
      <c r="B9" s="55">
        <v>2543.93</v>
      </c>
      <c r="C9" s="33">
        <v>3276.01</v>
      </c>
      <c r="D9" s="55">
        <v>4274.03</v>
      </c>
      <c r="E9" s="55">
        <v>5107.36</v>
      </c>
      <c r="F9" s="55">
        <v>5938.5</v>
      </c>
      <c r="G9" s="33">
        <v>7770.46</v>
      </c>
      <c r="H9" s="33">
        <v>9725.61</v>
      </c>
      <c r="I9" s="33">
        <v>11759.19</v>
      </c>
      <c r="J9" s="33">
        <v>14349.83</v>
      </c>
      <c r="L9" s="61"/>
      <c r="M9" s="61"/>
      <c r="N9" s="61"/>
      <c r="O9" s="61"/>
      <c r="P9" s="61"/>
      <c r="Q9" s="61"/>
      <c r="R9" s="61"/>
      <c r="S9" s="61"/>
      <c r="T9" s="61"/>
      <c r="U9" s="61"/>
    </row>
    <row r="10">
      <c r="A10" s="60" t="s">
        <v>865</v>
      </c>
      <c r="B10" s="33">
        <v>152.89</v>
      </c>
      <c r="C10" s="33">
        <v>147.07</v>
      </c>
      <c r="D10" s="55">
        <v>376.84</v>
      </c>
      <c r="E10" s="55">
        <v>364.4</v>
      </c>
      <c r="F10" s="55">
        <v>1019.59</v>
      </c>
      <c r="G10" s="33">
        <v>1129.34</v>
      </c>
      <c r="H10" s="33">
        <v>829.16</v>
      </c>
      <c r="I10" s="33">
        <v>935.22</v>
      </c>
      <c r="J10" s="33">
        <v>1099.35</v>
      </c>
      <c r="L10" s="61"/>
      <c r="M10" s="61"/>
      <c r="N10" s="61"/>
      <c r="O10" s="61"/>
      <c r="P10" s="61"/>
      <c r="Q10" s="61"/>
      <c r="R10" s="61"/>
      <c r="S10" s="61"/>
      <c r="T10" s="61"/>
      <c r="U10" s="61"/>
    </row>
    <row r="11">
      <c r="A11" s="60" t="s">
        <v>866</v>
      </c>
      <c r="B11" s="33" t="s">
        <v>867</v>
      </c>
      <c r="C11" s="33" t="s">
        <v>867</v>
      </c>
      <c r="D11" s="33" t="s">
        <v>867</v>
      </c>
      <c r="E11" s="55">
        <v>717.33</v>
      </c>
      <c r="F11" s="55">
        <v>960.24</v>
      </c>
      <c r="G11" s="33">
        <v>1388.65</v>
      </c>
      <c r="H11" s="33">
        <v>1388.65</v>
      </c>
      <c r="I11" s="33">
        <v>1539.1</v>
      </c>
      <c r="J11" s="33">
        <v>1741.73</v>
      </c>
      <c r="L11" s="61"/>
      <c r="M11" s="53">
        <v>42795.0</v>
      </c>
      <c r="N11" s="53">
        <v>43160.0</v>
      </c>
      <c r="O11" s="53">
        <v>43525.0</v>
      </c>
      <c r="P11" s="8">
        <v>43891.0</v>
      </c>
      <c r="Q11" s="8">
        <v>44256.0</v>
      </c>
      <c r="R11" s="8">
        <v>44621.0</v>
      </c>
      <c r="S11" s="8">
        <v>44986.0</v>
      </c>
      <c r="T11" s="8">
        <v>45352.0</v>
      </c>
      <c r="U11" s="9">
        <v>45717.0</v>
      </c>
    </row>
    <row r="12">
      <c r="A12" s="60" t="s">
        <v>868</v>
      </c>
      <c r="B12" s="33">
        <v>6.44</v>
      </c>
      <c r="C12" s="33">
        <f>78.27+29.36</f>
        <v>107.63</v>
      </c>
      <c r="D12" s="33">
        <v>126.34</v>
      </c>
      <c r="E12" s="33">
        <v>123.34</v>
      </c>
      <c r="F12" s="33">
        <v>110.06</v>
      </c>
      <c r="G12" s="33">
        <v>100.91</v>
      </c>
      <c r="H12" s="33">
        <v>109.99</v>
      </c>
      <c r="I12" s="33">
        <v>116.71</v>
      </c>
      <c r="J12" s="33">
        <v>114.9</v>
      </c>
      <c r="L12" s="61" t="s">
        <v>869</v>
      </c>
      <c r="M12" s="65">
        <f t="shared" ref="M12:U12" si="3">B2+B3</f>
        <v>3841.78</v>
      </c>
      <c r="N12" s="65">
        <f t="shared" si="3"/>
        <v>4669.05</v>
      </c>
      <c r="O12" s="65">
        <f t="shared" si="3"/>
        <v>5587.45</v>
      </c>
      <c r="P12" s="65">
        <f t="shared" si="3"/>
        <v>11079.74</v>
      </c>
      <c r="Q12" s="65">
        <f t="shared" si="3"/>
        <v>12183.71</v>
      </c>
      <c r="R12" s="65">
        <f t="shared" si="3"/>
        <v>13677.64</v>
      </c>
      <c r="S12" s="65">
        <f t="shared" si="3"/>
        <v>16078.7</v>
      </c>
      <c r="T12" s="65">
        <f t="shared" si="3"/>
        <v>18697.82</v>
      </c>
      <c r="U12" s="65">
        <f t="shared" si="3"/>
        <v>21427.76</v>
      </c>
    </row>
    <row r="13">
      <c r="A13" s="60" t="s">
        <v>870</v>
      </c>
      <c r="B13" s="33">
        <v>4.16</v>
      </c>
      <c r="C13" s="33">
        <v>68.18</v>
      </c>
      <c r="D13" s="55">
        <v>16.53</v>
      </c>
      <c r="E13" s="55">
        <v>14.68</v>
      </c>
      <c r="F13" s="55">
        <v>2.95</v>
      </c>
      <c r="G13" s="33">
        <v>5.94</v>
      </c>
      <c r="H13" s="33">
        <v>202.2</v>
      </c>
      <c r="I13" s="33">
        <v>106.67</v>
      </c>
      <c r="J13" s="33">
        <v>3.26</v>
      </c>
      <c r="L13" s="61"/>
      <c r="M13" s="61"/>
      <c r="N13" s="61"/>
      <c r="O13" s="61"/>
      <c r="P13" s="61"/>
      <c r="Q13" s="61"/>
      <c r="R13" s="61"/>
      <c r="S13" s="61"/>
      <c r="T13" s="61"/>
      <c r="U13" s="61"/>
    </row>
    <row r="14">
      <c r="A14" s="60" t="s">
        <v>871</v>
      </c>
      <c r="B14" s="33">
        <v>947.9</v>
      </c>
      <c r="C14" s="33">
        <v>1163.45</v>
      </c>
      <c r="D14" s="55">
        <v>1608.65</v>
      </c>
      <c r="E14" s="55">
        <v>1947.4</v>
      </c>
      <c r="F14" s="55">
        <v>2248.28</v>
      </c>
      <c r="G14" s="33">
        <v>2742.66</v>
      </c>
      <c r="H14" s="33">
        <v>3243.48</v>
      </c>
      <c r="I14" s="33">
        <v>3927.23</v>
      </c>
      <c r="J14" s="33">
        <v>5044.37</v>
      </c>
      <c r="L14" s="61"/>
      <c r="M14" s="61"/>
      <c r="N14" s="61"/>
      <c r="O14" s="61"/>
      <c r="P14" s="61"/>
      <c r="Q14" s="61"/>
      <c r="R14" s="61"/>
      <c r="S14" s="61"/>
      <c r="T14" s="61"/>
      <c r="U14" s="61"/>
    </row>
    <row r="15">
      <c r="A15" s="60" t="s">
        <v>872</v>
      </c>
      <c r="B15" s="33">
        <v>21.0</v>
      </c>
      <c r="C15" s="33">
        <v>33.52</v>
      </c>
      <c r="D15" s="55">
        <v>64.37</v>
      </c>
      <c r="E15" s="55">
        <v>19.55</v>
      </c>
      <c r="F15" s="55">
        <v>43.58</v>
      </c>
      <c r="G15" s="33">
        <v>66.89</v>
      </c>
      <c r="H15" s="33">
        <v>62.16</v>
      </c>
      <c r="I15" s="33">
        <v>166.37</v>
      </c>
      <c r="J15" s="33">
        <v>153.79</v>
      </c>
      <c r="L15" s="61"/>
      <c r="M15" s="61"/>
      <c r="N15" s="61"/>
      <c r="O15" s="61"/>
      <c r="P15" s="61"/>
      <c r="Q15" s="61"/>
      <c r="R15" s="61"/>
      <c r="S15" s="61"/>
      <c r="T15" s="61"/>
      <c r="U15" s="61"/>
    </row>
    <row r="16">
      <c r="A16" s="60" t="s">
        <v>873</v>
      </c>
      <c r="B16" s="33">
        <f>32.92+1851.35</f>
        <v>1884.27</v>
      </c>
      <c r="C16" s="33">
        <f>67.45+492.73</f>
        <v>560.18</v>
      </c>
      <c r="D16" s="33">
        <v>219.07</v>
      </c>
      <c r="E16" s="33">
        <v>107.88</v>
      </c>
      <c r="F16" s="33">
        <v>1445.58</v>
      </c>
      <c r="G16" s="33">
        <v>298.58</v>
      </c>
      <c r="H16" s="33">
        <v>1408.33</v>
      </c>
      <c r="I16" s="33">
        <v>638.18</v>
      </c>
      <c r="J16" s="33">
        <v>358.2</v>
      </c>
      <c r="L16" s="61"/>
      <c r="M16" s="61"/>
      <c r="N16" s="61"/>
      <c r="O16" s="61"/>
      <c r="P16" s="61"/>
      <c r="Q16" s="61"/>
      <c r="R16" s="61"/>
      <c r="S16" s="61"/>
      <c r="T16" s="61"/>
      <c r="U16" s="61"/>
    </row>
    <row r="17">
      <c r="A17" s="60" t="s">
        <v>874</v>
      </c>
      <c r="B17" s="33">
        <f>74.14+37.95</f>
        <v>112.09</v>
      </c>
      <c r="C17" s="33">
        <f>77.5+42.39</f>
        <v>119.89</v>
      </c>
      <c r="D17" s="33">
        <v>90.84</v>
      </c>
      <c r="E17" s="33">
        <v>3231.73</v>
      </c>
      <c r="F17" s="33">
        <v>1277.19</v>
      </c>
      <c r="G17" s="33">
        <v>1390.16</v>
      </c>
      <c r="H17" s="33">
        <v>425.32</v>
      </c>
      <c r="I17" s="33">
        <v>1363.25</v>
      </c>
      <c r="J17" s="33">
        <v>696.48</v>
      </c>
      <c r="L17" s="61"/>
      <c r="M17" s="61"/>
      <c r="N17" s="61"/>
      <c r="O17" s="61"/>
      <c r="P17" s="61"/>
      <c r="Q17" s="61"/>
      <c r="R17" s="61"/>
      <c r="S17" s="61"/>
      <c r="T17" s="61"/>
      <c r="U17" s="61"/>
    </row>
    <row r="18">
      <c r="A18" s="60" t="s">
        <v>875</v>
      </c>
      <c r="B18" s="33">
        <f t="shared" ref="B18:J18" si="4">B19-(SUM(B9:B17))</f>
        <v>146.67</v>
      </c>
      <c r="C18" s="33">
        <f t="shared" si="4"/>
        <v>136.54</v>
      </c>
      <c r="D18" s="33">
        <f t="shared" si="4"/>
        <v>229.05</v>
      </c>
      <c r="E18" s="33">
        <f t="shared" si="4"/>
        <v>442.78</v>
      </c>
      <c r="F18" s="33">
        <f t="shared" si="4"/>
        <v>610</v>
      </c>
      <c r="G18" s="33">
        <f t="shared" si="4"/>
        <v>579.05</v>
      </c>
      <c r="H18" s="33">
        <f t="shared" si="4"/>
        <v>711.39</v>
      </c>
      <c r="I18" s="33">
        <f t="shared" si="4"/>
        <v>625.28</v>
      </c>
      <c r="J18" s="33">
        <f t="shared" si="4"/>
        <v>758.38</v>
      </c>
      <c r="L18" s="61"/>
      <c r="M18" s="53">
        <v>42795.0</v>
      </c>
      <c r="N18" s="53">
        <v>43160.0</v>
      </c>
      <c r="O18" s="53">
        <v>43525.0</v>
      </c>
      <c r="P18" s="8">
        <v>43891.0</v>
      </c>
      <c r="Q18" s="8">
        <v>44256.0</v>
      </c>
      <c r="R18" s="8">
        <v>44621.0</v>
      </c>
      <c r="S18" s="8">
        <v>44986.0</v>
      </c>
      <c r="T18" s="8">
        <v>45352.0</v>
      </c>
      <c r="U18" s="9">
        <v>45717.0</v>
      </c>
    </row>
    <row r="19">
      <c r="A19" s="62" t="s">
        <v>876</v>
      </c>
      <c r="B19" s="63">
        <v>5819.35</v>
      </c>
      <c r="C19" s="63">
        <v>5612.47</v>
      </c>
      <c r="D19" s="64">
        <v>7005.72</v>
      </c>
      <c r="E19" s="64">
        <v>12076.45</v>
      </c>
      <c r="F19" s="63">
        <v>13655.97</v>
      </c>
      <c r="G19" s="63">
        <v>15472.64</v>
      </c>
      <c r="H19" s="63">
        <v>18106.29</v>
      </c>
      <c r="I19" s="63">
        <v>21177.2</v>
      </c>
      <c r="J19" s="63">
        <v>24320.29</v>
      </c>
      <c r="L19" s="61" t="s">
        <v>877</v>
      </c>
      <c r="M19" s="65">
        <v>2978.6</v>
      </c>
      <c r="N19" s="65">
        <v>1972.2</v>
      </c>
      <c r="O19" s="65">
        <v>2082.58</v>
      </c>
      <c r="P19" s="65">
        <v>2347.67</v>
      </c>
      <c r="Q19" s="65">
        <v>4061.13</v>
      </c>
      <c r="R19" s="65">
        <v>3442.85</v>
      </c>
      <c r="S19" s="65">
        <v>5448.39</v>
      </c>
      <c r="T19" s="65">
        <v>6202.03</v>
      </c>
      <c r="U19" s="65">
        <v>6392.2</v>
      </c>
    </row>
    <row r="20"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</row>
    <row r="21">
      <c r="F21" s="33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</row>
    <row r="22">
      <c r="A22" s="32" t="s">
        <v>794</v>
      </c>
      <c r="B22" s="40">
        <v>42795.0</v>
      </c>
      <c r="C22" s="40">
        <v>43160.0</v>
      </c>
      <c r="D22" s="40">
        <v>43525.0</v>
      </c>
      <c r="E22" s="41">
        <v>43891.0</v>
      </c>
      <c r="F22" s="41">
        <v>44256.0</v>
      </c>
      <c r="G22" s="41">
        <v>44621.0</v>
      </c>
      <c r="H22" s="41">
        <v>44986.0</v>
      </c>
      <c r="I22" s="41">
        <v>45352.0</v>
      </c>
      <c r="J22" s="42">
        <v>45717.0</v>
      </c>
    </row>
    <row r="23">
      <c r="A23" s="60" t="s">
        <v>857</v>
      </c>
      <c r="B23" s="12">
        <f t="shared" ref="B23:B28" si="5">B2/$B$19</f>
        <v>0.1072422178</v>
      </c>
      <c r="C23" s="12">
        <f t="shared" ref="C23:C28" si="6">C2/$C$19</f>
        <v>0.1111952492</v>
      </c>
      <c r="D23" s="12">
        <f t="shared" ref="D23:D28" si="7">D2/$D$19</f>
        <v>0.08908149341</v>
      </c>
      <c r="E23" s="12">
        <f t="shared" ref="E23:E28" si="8">E2/$E$19</f>
        <v>0.05363910752</v>
      </c>
      <c r="F23" s="12">
        <f t="shared" ref="F23:F28" si="9">F2/$F$19</f>
        <v>0.04743493139</v>
      </c>
      <c r="G23" s="12">
        <f t="shared" ref="G23:G28" si="10">G2/$G$19</f>
        <v>0.04186551228</v>
      </c>
      <c r="H23" s="12">
        <f t="shared" ref="H23:H28" si="11">H2/$H$19</f>
        <v>0.03580302757</v>
      </c>
      <c r="I23" s="12">
        <f t="shared" ref="I23:I28" si="12">I2/$I$19</f>
        <v>0.03072785826</v>
      </c>
      <c r="J23" s="12">
        <f t="shared" ref="J23:J28" si="13">J2/$J$19</f>
        <v>0.02675667108</v>
      </c>
    </row>
    <row r="24">
      <c r="A24" s="60" t="s">
        <v>858</v>
      </c>
      <c r="B24" s="12">
        <f t="shared" si="5"/>
        <v>0.5529311693</v>
      </c>
      <c r="C24" s="12">
        <f t="shared" si="6"/>
        <v>0.720711202</v>
      </c>
      <c r="D24" s="12">
        <f t="shared" si="7"/>
        <v>0.7084739327</v>
      </c>
      <c r="E24" s="12">
        <f t="shared" si="8"/>
        <v>0.8638275321</v>
      </c>
      <c r="F24" s="12">
        <f t="shared" si="9"/>
        <v>0.8447543455</v>
      </c>
      <c r="G24" s="12">
        <f t="shared" si="10"/>
        <v>0.8421232576</v>
      </c>
      <c r="H24" s="12">
        <f t="shared" si="11"/>
        <v>0.852214341</v>
      </c>
      <c r="I24" s="12">
        <f t="shared" si="12"/>
        <v>0.8521943411</v>
      </c>
      <c r="J24" s="12">
        <f t="shared" si="13"/>
        <v>0.8543084807</v>
      </c>
    </row>
    <row r="25">
      <c r="A25" s="60" t="s">
        <v>859</v>
      </c>
      <c r="B25" s="12">
        <f t="shared" si="5"/>
        <v>0.1924201156</v>
      </c>
      <c r="C25" s="12">
        <f t="shared" si="6"/>
        <v>0.04512273562</v>
      </c>
      <c r="D25" s="12">
        <f t="shared" si="7"/>
        <v>0.0613527232</v>
      </c>
      <c r="E25" s="12">
        <f t="shared" si="8"/>
        <v>0.02477466474</v>
      </c>
      <c r="F25" s="12">
        <f t="shared" si="9"/>
        <v>0.02875738596</v>
      </c>
      <c r="G25" s="12">
        <f t="shared" si="10"/>
        <v>0.04181186921</v>
      </c>
      <c r="H25" s="12">
        <f t="shared" si="11"/>
        <v>0.0355114162</v>
      </c>
      <c r="I25" s="12">
        <f t="shared" si="12"/>
        <v>0.02796214797</v>
      </c>
      <c r="J25" s="12">
        <f t="shared" si="13"/>
        <v>0.0337010784</v>
      </c>
    </row>
    <row r="26">
      <c r="A26" s="60" t="s">
        <v>860</v>
      </c>
      <c r="B26" s="12">
        <f t="shared" si="5"/>
        <v>0.04479194412</v>
      </c>
      <c r="C26" s="12">
        <f t="shared" si="6"/>
        <v>0.05653125986</v>
      </c>
      <c r="D26" s="12">
        <f t="shared" si="7"/>
        <v>0.06612739304</v>
      </c>
      <c r="E26" s="12">
        <f t="shared" si="8"/>
        <v>0.0358921703</v>
      </c>
      <c r="F26" s="12">
        <f t="shared" si="9"/>
        <v>0.04233533026</v>
      </c>
      <c r="G26" s="12">
        <f t="shared" si="10"/>
        <v>0.03808012078</v>
      </c>
      <c r="H26" s="12">
        <f t="shared" si="11"/>
        <v>0.04163138887</v>
      </c>
      <c r="I26" s="12">
        <f t="shared" si="12"/>
        <v>0.04650331489</v>
      </c>
      <c r="J26" s="12">
        <f t="shared" si="13"/>
        <v>0.04402949142</v>
      </c>
    </row>
    <row r="27">
      <c r="A27" s="60" t="s">
        <v>861</v>
      </c>
      <c r="B27" s="12">
        <f t="shared" si="5"/>
        <v>0.1026145532</v>
      </c>
      <c r="C27" s="12">
        <f t="shared" si="6"/>
        <v>0.06643955335</v>
      </c>
      <c r="D27" s="12">
        <f t="shared" si="7"/>
        <v>0.07496445761</v>
      </c>
      <c r="E27" s="12">
        <f t="shared" si="8"/>
        <v>0.02186652534</v>
      </c>
      <c r="F27" s="12">
        <f t="shared" si="9"/>
        <v>0.03671800685</v>
      </c>
      <c r="G27" s="12">
        <f t="shared" si="10"/>
        <v>0.03611924016</v>
      </c>
      <c r="H27" s="12">
        <f t="shared" si="11"/>
        <v>0.03483982638</v>
      </c>
      <c r="I27" s="12">
        <f t="shared" si="12"/>
        <v>0.0426123378</v>
      </c>
      <c r="J27" s="12">
        <f t="shared" si="13"/>
        <v>0.0412042784</v>
      </c>
    </row>
    <row r="28">
      <c r="A28" s="62" t="s">
        <v>862</v>
      </c>
      <c r="B28" s="66">
        <f t="shared" si="5"/>
        <v>1</v>
      </c>
      <c r="C28" s="66">
        <f t="shared" si="6"/>
        <v>1</v>
      </c>
      <c r="D28" s="66">
        <f t="shared" si="7"/>
        <v>1</v>
      </c>
      <c r="E28" s="66">
        <f t="shared" si="8"/>
        <v>1</v>
      </c>
      <c r="F28" s="66">
        <f t="shared" si="9"/>
        <v>1</v>
      </c>
      <c r="G28" s="66">
        <f t="shared" si="10"/>
        <v>1</v>
      </c>
      <c r="H28" s="66">
        <f t="shared" si="11"/>
        <v>1</v>
      </c>
      <c r="I28" s="66">
        <f t="shared" si="12"/>
        <v>1</v>
      </c>
      <c r="J28" s="66">
        <f t="shared" si="13"/>
        <v>1</v>
      </c>
    </row>
    <row r="29">
      <c r="A29" s="32"/>
      <c r="B29" s="12"/>
      <c r="C29" s="12"/>
      <c r="D29" s="12"/>
      <c r="E29" s="12"/>
      <c r="F29" s="12"/>
      <c r="G29" s="12"/>
      <c r="H29" s="12"/>
      <c r="I29" s="12"/>
      <c r="J29" s="12"/>
    </row>
    <row r="30">
      <c r="A30" s="60" t="s">
        <v>830</v>
      </c>
      <c r="B30" s="12">
        <f t="shared" ref="B30:B31" si="14">B9/$B$19</f>
        <v>0.4371501972</v>
      </c>
      <c r="C30" s="12">
        <f t="shared" ref="C30:C31" si="15">C9/$C$19</f>
        <v>0.5837020064</v>
      </c>
      <c r="D30" s="12">
        <f t="shared" ref="D30:D31" si="16">D9/$D$19</f>
        <v>0.6100771941</v>
      </c>
      <c r="E30" s="12">
        <f t="shared" ref="E30:E39" si="17">E9/$E$19</f>
        <v>0.422918987</v>
      </c>
      <c r="F30" s="12">
        <f t="shared" ref="F30:F39" si="18">F9/$F$19</f>
        <v>0.4348647515</v>
      </c>
      <c r="G30" s="12">
        <f t="shared" ref="G30:G39" si="19">G9/$G$19</f>
        <v>0.5022064754</v>
      </c>
      <c r="H30" s="12">
        <f t="shared" ref="H30:H39" si="20">H9/$H$19</f>
        <v>0.5371398558</v>
      </c>
      <c r="I30" s="12">
        <f t="shared" ref="I30:I39" si="21">I9/$I$19</f>
        <v>0.5552759572</v>
      </c>
      <c r="J30" s="12">
        <f t="shared" ref="J30:J39" si="22">J9/$J$19</f>
        <v>0.5900353162</v>
      </c>
    </row>
    <row r="31">
      <c r="A31" s="60" t="s">
        <v>865</v>
      </c>
      <c r="B31" s="12">
        <f t="shared" si="14"/>
        <v>0.02627269369</v>
      </c>
      <c r="C31" s="12">
        <f t="shared" si="15"/>
        <v>0.02620414898</v>
      </c>
      <c r="D31" s="12">
        <f t="shared" si="16"/>
        <v>0.05379033133</v>
      </c>
      <c r="E31" s="12">
        <f t="shared" si="17"/>
        <v>0.0301744304</v>
      </c>
      <c r="F31" s="12">
        <f t="shared" si="18"/>
        <v>0.07466258347</v>
      </c>
      <c r="G31" s="12">
        <f t="shared" si="19"/>
        <v>0.07298948337</v>
      </c>
      <c r="H31" s="12">
        <f t="shared" si="20"/>
        <v>0.04579403069</v>
      </c>
      <c r="I31" s="12">
        <f t="shared" si="21"/>
        <v>0.04416164554</v>
      </c>
      <c r="J31" s="12">
        <f t="shared" si="22"/>
        <v>0.04520299717</v>
      </c>
    </row>
    <row r="32">
      <c r="A32" s="60" t="s">
        <v>866</v>
      </c>
      <c r="B32" s="67" t="s">
        <v>867</v>
      </c>
      <c r="C32" s="67" t="s">
        <v>867</v>
      </c>
      <c r="D32" s="67" t="s">
        <v>867</v>
      </c>
      <c r="E32" s="12">
        <f t="shared" si="17"/>
        <v>0.05939907837</v>
      </c>
      <c r="F32" s="12">
        <f t="shared" si="18"/>
        <v>0.07031649894</v>
      </c>
      <c r="G32" s="12">
        <f t="shared" si="19"/>
        <v>0.08974874359</v>
      </c>
      <c r="H32" s="12">
        <f t="shared" si="20"/>
        <v>0.07669434213</v>
      </c>
      <c r="I32" s="12">
        <f t="shared" si="21"/>
        <v>0.0726772189</v>
      </c>
      <c r="J32" s="12">
        <f t="shared" si="22"/>
        <v>0.07161633352</v>
      </c>
    </row>
    <row r="33">
      <c r="A33" s="60" t="s">
        <v>868</v>
      </c>
      <c r="B33" s="12">
        <f t="shared" ref="B33:B39" si="23">B12/$B$19</f>
        <v>0.001106652805</v>
      </c>
      <c r="C33" s="12">
        <f t="shared" ref="C33:C39" si="24">C12/$C$19</f>
        <v>0.01917693992</v>
      </c>
      <c r="D33" s="12">
        <f t="shared" ref="D33:D39" si="25">D12/$D$19</f>
        <v>0.01803383521</v>
      </c>
      <c r="E33" s="12">
        <f t="shared" si="17"/>
        <v>0.01021326632</v>
      </c>
      <c r="F33" s="12">
        <f t="shared" si="18"/>
        <v>0.008059478748</v>
      </c>
      <c r="G33" s="12">
        <f t="shared" si="19"/>
        <v>0.006521834671</v>
      </c>
      <c r="H33" s="12">
        <f t="shared" si="20"/>
        <v>0.006074684543</v>
      </c>
      <c r="I33" s="12">
        <f t="shared" si="21"/>
        <v>0.005511115728</v>
      </c>
      <c r="J33" s="12">
        <f t="shared" si="22"/>
        <v>0.004724450243</v>
      </c>
    </row>
    <row r="34">
      <c r="A34" s="60" t="s">
        <v>870</v>
      </c>
      <c r="B34" s="12">
        <f t="shared" si="23"/>
        <v>0.0007148564702</v>
      </c>
      <c r="C34" s="12">
        <f t="shared" si="24"/>
        <v>0.01214794912</v>
      </c>
      <c r="D34" s="12">
        <f t="shared" si="25"/>
        <v>0.002359500522</v>
      </c>
      <c r="E34" s="12">
        <f t="shared" si="17"/>
        <v>0.001215589018</v>
      </c>
      <c r="F34" s="12">
        <f t="shared" si="18"/>
        <v>0.0002160227358</v>
      </c>
      <c r="G34" s="12">
        <f t="shared" si="19"/>
        <v>0.000383903458</v>
      </c>
      <c r="H34" s="12">
        <f t="shared" si="20"/>
        <v>0.0111673899</v>
      </c>
      <c r="I34" s="12">
        <f t="shared" si="21"/>
        <v>0.005037020947</v>
      </c>
      <c r="J34" s="12">
        <f t="shared" si="22"/>
        <v>0.0001340444542</v>
      </c>
    </row>
    <row r="35">
      <c r="A35" s="60" t="s">
        <v>871</v>
      </c>
      <c r="B35" s="12">
        <f t="shared" si="23"/>
        <v>0.1628876077</v>
      </c>
      <c r="C35" s="12">
        <f t="shared" si="24"/>
        <v>0.2072973219</v>
      </c>
      <c r="D35" s="12">
        <f t="shared" si="25"/>
        <v>0.2296195109</v>
      </c>
      <c r="E35" s="12">
        <f t="shared" si="17"/>
        <v>0.1612559982</v>
      </c>
      <c r="F35" s="12">
        <f t="shared" si="18"/>
        <v>0.1646371514</v>
      </c>
      <c r="G35" s="12">
        <f t="shared" si="19"/>
        <v>0.1772586966</v>
      </c>
      <c r="H35" s="12">
        <f t="shared" si="20"/>
        <v>0.179135538</v>
      </c>
      <c r="I35" s="12">
        <f t="shared" si="21"/>
        <v>0.1854461402</v>
      </c>
      <c r="J35" s="12">
        <f t="shared" si="22"/>
        <v>0.2074140563</v>
      </c>
    </row>
    <row r="36">
      <c r="A36" s="60" t="s">
        <v>872</v>
      </c>
      <c r="B36" s="12">
        <f t="shared" si="23"/>
        <v>0.003608650451</v>
      </c>
      <c r="C36" s="12">
        <f t="shared" si="24"/>
        <v>0.005972414997</v>
      </c>
      <c r="D36" s="12">
        <f t="shared" si="25"/>
        <v>0.009188206209</v>
      </c>
      <c r="E36" s="12">
        <f t="shared" si="17"/>
        <v>0.001618853223</v>
      </c>
      <c r="F36" s="12">
        <f t="shared" si="18"/>
        <v>0.003191278247</v>
      </c>
      <c r="G36" s="12">
        <f t="shared" si="19"/>
        <v>0.004323114866</v>
      </c>
      <c r="H36" s="12">
        <f t="shared" si="20"/>
        <v>0.003433061107</v>
      </c>
      <c r="I36" s="12">
        <f t="shared" si="21"/>
        <v>0.007856090512</v>
      </c>
      <c r="J36" s="12">
        <f t="shared" si="22"/>
        <v>0.00632352657</v>
      </c>
    </row>
    <row r="37">
      <c r="A37" s="60" t="s">
        <v>873</v>
      </c>
      <c r="B37" s="12">
        <f t="shared" si="23"/>
        <v>0.3237938945</v>
      </c>
      <c r="C37" s="12">
        <f t="shared" si="24"/>
        <v>0.09980988763</v>
      </c>
      <c r="D37" s="12">
        <f t="shared" si="25"/>
        <v>0.0312701621</v>
      </c>
      <c r="E37" s="12">
        <f t="shared" si="17"/>
        <v>0.00893308878</v>
      </c>
      <c r="F37" s="12">
        <f t="shared" si="18"/>
        <v>0.1058569988</v>
      </c>
      <c r="G37" s="12">
        <f t="shared" si="19"/>
        <v>0.01929728863</v>
      </c>
      <c r="H37" s="12">
        <f t="shared" si="20"/>
        <v>0.07778125723</v>
      </c>
      <c r="I37" s="12">
        <f t="shared" si="21"/>
        <v>0.03013523979</v>
      </c>
      <c r="J37" s="12">
        <f t="shared" si="22"/>
        <v>0.01472844279</v>
      </c>
    </row>
    <row r="38">
      <c r="A38" s="60" t="s">
        <v>874</v>
      </c>
      <c r="B38" s="12">
        <f t="shared" si="23"/>
        <v>0.01926160138</v>
      </c>
      <c r="C38" s="12">
        <f t="shared" si="24"/>
        <v>0.0213613614</v>
      </c>
      <c r="D38" s="12">
        <f t="shared" si="25"/>
        <v>0.01296654734</v>
      </c>
      <c r="E38" s="12">
        <f t="shared" si="17"/>
        <v>0.2676059604</v>
      </c>
      <c r="F38" s="12">
        <f t="shared" si="18"/>
        <v>0.09352612813</v>
      </c>
      <c r="G38" s="12">
        <f t="shared" si="19"/>
        <v>0.08984633521</v>
      </c>
      <c r="H38" s="12">
        <f t="shared" si="20"/>
        <v>0.02349017938</v>
      </c>
      <c r="I38" s="12">
        <f t="shared" si="21"/>
        <v>0.06437347714</v>
      </c>
      <c r="J38" s="12">
        <f t="shared" si="22"/>
        <v>0.02863781641</v>
      </c>
    </row>
    <row r="39">
      <c r="A39" s="60" t="s">
        <v>875</v>
      </c>
      <c r="B39" s="12">
        <f t="shared" si="23"/>
        <v>0.02520384579</v>
      </c>
      <c r="C39" s="12">
        <f t="shared" si="24"/>
        <v>0.02432796968</v>
      </c>
      <c r="D39" s="12">
        <f t="shared" si="25"/>
        <v>0.03269471232</v>
      </c>
      <c r="E39" s="12">
        <f t="shared" si="17"/>
        <v>0.03666474833</v>
      </c>
      <c r="F39" s="12">
        <f t="shared" si="18"/>
        <v>0.04466910809</v>
      </c>
      <c r="G39" s="12">
        <f t="shared" si="19"/>
        <v>0.03742412413</v>
      </c>
      <c r="H39" s="12">
        <f t="shared" si="20"/>
        <v>0.03928966122</v>
      </c>
      <c r="I39" s="12">
        <f t="shared" si="21"/>
        <v>0.0295260941</v>
      </c>
      <c r="J39" s="12">
        <f t="shared" si="22"/>
        <v>0.03118301632</v>
      </c>
    </row>
    <row r="40">
      <c r="A40" s="62" t="s">
        <v>876</v>
      </c>
      <c r="B40" s="68">
        <v>1.0</v>
      </c>
      <c r="C40" s="68">
        <v>1.0</v>
      </c>
      <c r="D40" s="68">
        <v>1.0</v>
      </c>
      <c r="E40" s="68">
        <v>1.0</v>
      </c>
      <c r="F40" s="68">
        <v>1.0</v>
      </c>
      <c r="G40" s="68">
        <v>1.0</v>
      </c>
      <c r="H40" s="68">
        <v>1.0</v>
      </c>
      <c r="I40" s="68">
        <v>1.0</v>
      </c>
      <c r="J40" s="68">
        <v>1.0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5"/>
  </cols>
  <sheetData>
    <row r="1">
      <c r="A1" s="32" t="s">
        <v>794</v>
      </c>
      <c r="B1" s="40">
        <v>42795.0</v>
      </c>
      <c r="C1" s="40">
        <v>43160.0</v>
      </c>
      <c r="D1" s="40">
        <v>43525.0</v>
      </c>
      <c r="E1" s="41">
        <v>43891.0</v>
      </c>
      <c r="F1" s="41">
        <v>44256.0</v>
      </c>
      <c r="G1" s="41">
        <v>44621.0</v>
      </c>
      <c r="H1" s="41">
        <v>44986.0</v>
      </c>
      <c r="I1" s="41">
        <v>45352.0</v>
      </c>
      <c r="J1" s="42">
        <v>45717.0</v>
      </c>
    </row>
    <row r="2">
      <c r="A2" s="60" t="s">
        <v>878</v>
      </c>
      <c r="B2" s="33">
        <v>1043.98</v>
      </c>
      <c r="C2" s="33">
        <v>1438.26</v>
      </c>
      <c r="D2" s="33">
        <v>2028.18</v>
      </c>
      <c r="E2" s="33">
        <v>2262.94</v>
      </c>
      <c r="F2" s="33">
        <v>2846.66</v>
      </c>
      <c r="G2" s="33">
        <v>3691.13</v>
      </c>
      <c r="H2" s="33">
        <v>4568.9</v>
      </c>
      <c r="I2" s="33">
        <v>5843.72</v>
      </c>
      <c r="J2" s="33">
        <v>7528.77</v>
      </c>
    </row>
    <row r="3">
      <c r="A3" s="60" t="s">
        <v>879</v>
      </c>
      <c r="B3" s="33">
        <v>1354.75</v>
      </c>
      <c r="C3" s="33">
        <v>1718.16</v>
      </c>
      <c r="D3" s="33">
        <v>2115.98</v>
      </c>
      <c r="E3" s="33">
        <v>2712.27</v>
      </c>
      <c r="F3" s="33">
        <v>3023.52</v>
      </c>
      <c r="G3" s="33">
        <v>3942.02</v>
      </c>
      <c r="H3" s="33">
        <v>5028.88</v>
      </c>
      <c r="I3" s="33">
        <v>5803.15</v>
      </c>
      <c r="J3" s="33">
        <v>6615.8</v>
      </c>
    </row>
    <row r="4">
      <c r="A4" s="60" t="s">
        <v>880</v>
      </c>
      <c r="B4" s="33">
        <v>88.09</v>
      </c>
      <c r="C4" s="33">
        <v>123.79</v>
      </c>
      <c r="D4" s="33">
        <v>190.9</v>
      </c>
      <c r="E4" s="33">
        <v>272.29</v>
      </c>
      <c r="F4" s="33">
        <v>343.82</v>
      </c>
      <c r="G4" s="33">
        <v>462.67</v>
      </c>
      <c r="H4" s="33">
        <v>614.71</v>
      </c>
      <c r="I4" s="33">
        <v>821.35</v>
      </c>
      <c r="J4" s="33">
        <v>1086.09</v>
      </c>
    </row>
    <row r="5">
      <c r="A5" s="60" t="s">
        <v>881</v>
      </c>
      <c r="B5" s="33">
        <v>108.04</v>
      </c>
      <c r="C5" s="33">
        <v>140.47</v>
      </c>
      <c r="D5" s="33">
        <v>205.65</v>
      </c>
      <c r="E5" s="33">
        <v>268.36</v>
      </c>
      <c r="F5" s="33">
        <v>333.25</v>
      </c>
      <c r="G5" s="33">
        <v>443.39</v>
      </c>
      <c r="H5" s="33">
        <v>541.86</v>
      </c>
      <c r="I5" s="33">
        <v>660.84</v>
      </c>
      <c r="J5" s="33">
        <v>835.2</v>
      </c>
    </row>
    <row r="6">
      <c r="A6" s="60" t="s">
        <v>882</v>
      </c>
      <c r="B6" s="33">
        <v>6.17</v>
      </c>
      <c r="C6" s="33">
        <v>2.21</v>
      </c>
      <c r="D6" s="33">
        <v>3.01</v>
      </c>
      <c r="E6" s="33">
        <v>3.57</v>
      </c>
      <c r="F6" s="33">
        <v>3.58</v>
      </c>
      <c r="G6" s="33">
        <v>3.44</v>
      </c>
      <c r="H6" s="33">
        <v>14.78</v>
      </c>
      <c r="I6" s="33">
        <v>17.32</v>
      </c>
      <c r="J6" s="33">
        <v>6.38</v>
      </c>
    </row>
    <row r="7">
      <c r="A7" s="60" t="s">
        <v>883</v>
      </c>
      <c r="B7" s="33">
        <f t="shared" ref="B7:J7" si="1">B8-(SUM(B2:B6))</f>
        <v>165.18</v>
      </c>
      <c r="C7" s="33">
        <f t="shared" si="1"/>
        <v>238.21</v>
      </c>
      <c r="D7" s="33">
        <f t="shared" si="1"/>
        <v>313.83</v>
      </c>
      <c r="E7" s="33">
        <f t="shared" si="1"/>
        <v>410.85</v>
      </c>
      <c r="F7" s="33">
        <f t="shared" si="1"/>
        <v>497.61</v>
      </c>
      <c r="G7" s="33">
        <f t="shared" si="1"/>
        <v>662.69</v>
      </c>
      <c r="H7" s="33">
        <f t="shared" si="1"/>
        <v>829.58</v>
      </c>
      <c r="I7" s="33">
        <f t="shared" si="1"/>
        <v>992.78</v>
      </c>
      <c r="J7" s="33">
        <f t="shared" si="1"/>
        <v>1231.94</v>
      </c>
    </row>
    <row r="8">
      <c r="A8" s="62" t="s">
        <v>837</v>
      </c>
      <c r="B8" s="69">
        <v>2766.21</v>
      </c>
      <c r="C8" s="69">
        <v>3661.1</v>
      </c>
      <c r="D8" s="69">
        <v>4857.55</v>
      </c>
      <c r="E8" s="69">
        <v>5930.28</v>
      </c>
      <c r="F8" s="69">
        <v>7048.44</v>
      </c>
      <c r="G8" s="69">
        <v>9205.34</v>
      </c>
      <c r="H8" s="69">
        <v>11598.71</v>
      </c>
      <c r="I8" s="69">
        <v>14139.16</v>
      </c>
      <c r="J8" s="69">
        <v>17304.18</v>
      </c>
    </row>
    <row r="9">
      <c r="A9" s="32"/>
    </row>
    <row r="10">
      <c r="A10" s="60" t="s">
        <v>838</v>
      </c>
      <c r="B10" s="33">
        <v>222.27</v>
      </c>
      <c r="C10" s="33">
        <v>385.08</v>
      </c>
      <c r="D10" s="33">
        <v>583.52</v>
      </c>
      <c r="E10" s="33">
        <v>822.92</v>
      </c>
      <c r="F10" s="33">
        <v>1109.94</v>
      </c>
      <c r="G10" s="33">
        <v>1434.88</v>
      </c>
      <c r="H10" s="33">
        <v>1873.1</v>
      </c>
      <c r="I10" s="33">
        <v>2379.97</v>
      </c>
      <c r="J10" s="33">
        <v>2954.35</v>
      </c>
    </row>
    <row r="11">
      <c r="A11" s="62" t="s">
        <v>839</v>
      </c>
      <c r="B11" s="70">
        <f t="shared" ref="B11:J11" si="2">B8-B10</f>
        <v>2543.94</v>
      </c>
      <c r="C11" s="70">
        <f t="shared" si="2"/>
        <v>3276.02</v>
      </c>
      <c r="D11" s="70">
        <f t="shared" si="2"/>
        <v>4274.03</v>
      </c>
      <c r="E11" s="70">
        <f t="shared" si="2"/>
        <v>5107.36</v>
      </c>
      <c r="F11" s="70">
        <f t="shared" si="2"/>
        <v>5938.5</v>
      </c>
      <c r="G11" s="70">
        <f t="shared" si="2"/>
        <v>7770.46</v>
      </c>
      <c r="H11" s="70">
        <f t="shared" si="2"/>
        <v>9725.61</v>
      </c>
      <c r="I11" s="70">
        <f t="shared" si="2"/>
        <v>11759.19</v>
      </c>
      <c r="J11" s="70">
        <f t="shared" si="2"/>
        <v>14349.83</v>
      </c>
    </row>
    <row r="12">
      <c r="A12" s="32"/>
    </row>
    <row r="13">
      <c r="A13" s="60" t="s">
        <v>884</v>
      </c>
      <c r="C13" s="71">
        <f t="shared" ref="C13:J13" si="3">C8-B8</f>
        <v>894.89</v>
      </c>
      <c r="D13" s="71">
        <f t="shared" si="3"/>
        <v>1196.45</v>
      </c>
      <c r="E13" s="71">
        <f t="shared" si="3"/>
        <v>1072.73</v>
      </c>
      <c r="F13" s="71">
        <f t="shared" si="3"/>
        <v>1118.16</v>
      </c>
      <c r="G13" s="71">
        <f t="shared" si="3"/>
        <v>2156.9</v>
      </c>
      <c r="H13" s="71">
        <f t="shared" si="3"/>
        <v>2393.37</v>
      </c>
      <c r="I13" s="71">
        <f t="shared" si="3"/>
        <v>2540.45</v>
      </c>
      <c r="J13" s="71">
        <f t="shared" si="3"/>
        <v>3165.02</v>
      </c>
    </row>
    <row r="14">
      <c r="A14" s="60" t="s">
        <v>885</v>
      </c>
      <c r="C14" s="12">
        <f t="shared" ref="C14:J14" si="4">(C8-B8)/C8</f>
        <v>0.2444320013</v>
      </c>
      <c r="D14" s="12">
        <f t="shared" si="4"/>
        <v>0.2463072948</v>
      </c>
      <c r="E14" s="12">
        <f t="shared" si="4"/>
        <v>0.1808902784</v>
      </c>
      <c r="F14" s="12">
        <f t="shared" si="4"/>
        <v>0.1586393585</v>
      </c>
      <c r="G14" s="12">
        <f t="shared" si="4"/>
        <v>0.2343096507</v>
      </c>
      <c r="H14" s="12">
        <f t="shared" si="4"/>
        <v>0.2063479473</v>
      </c>
      <c r="I14" s="12">
        <f t="shared" si="4"/>
        <v>0.1796747473</v>
      </c>
      <c r="J14" s="12">
        <f t="shared" si="4"/>
        <v>0.1829049397</v>
      </c>
    </row>
    <row r="17">
      <c r="A17" s="32" t="s">
        <v>794</v>
      </c>
      <c r="B17" s="40">
        <v>42795.0</v>
      </c>
      <c r="C17" s="40">
        <v>43160.0</v>
      </c>
      <c r="D17" s="40">
        <v>43525.0</v>
      </c>
      <c r="E17" s="41">
        <v>43891.0</v>
      </c>
      <c r="F17" s="41">
        <v>44256.0</v>
      </c>
      <c r="G17" s="41">
        <v>44621.0</v>
      </c>
      <c r="H17" s="41">
        <v>44986.0</v>
      </c>
      <c r="I17" s="41">
        <v>45352.0</v>
      </c>
      <c r="J17" s="42">
        <v>45717.0</v>
      </c>
    </row>
    <row r="18">
      <c r="A18" s="60" t="s">
        <v>878</v>
      </c>
      <c r="B18" s="12">
        <f t="shared" ref="B18:B23" si="5">B2/$B$8</f>
        <v>0.3774044631</v>
      </c>
      <c r="C18" s="12">
        <f t="shared" ref="C18:C23" si="6">C2/$C$8</f>
        <v>0.3928491437</v>
      </c>
      <c r="D18" s="12">
        <f t="shared" ref="D18:D23" si="7">D2/$D$8</f>
        <v>0.4175314716</v>
      </c>
      <c r="E18" s="12">
        <f t="shared" ref="E18:E23" si="8">E2/$E$8</f>
        <v>0.3815907512</v>
      </c>
      <c r="F18" s="12">
        <f t="shared" ref="F18:F23" si="9">F2/$F$8</f>
        <v>0.4038709275</v>
      </c>
      <c r="G18" s="12">
        <f t="shared" ref="G18:G23" si="10">G2/$G$8</f>
        <v>0.4009770416</v>
      </c>
      <c r="H18" s="12">
        <f t="shared" ref="H18:H23" si="11">H2/$H$8</f>
        <v>0.3939144957</v>
      </c>
      <c r="I18" s="12">
        <f t="shared" ref="I18:I23" si="12">I2/$I$8</f>
        <v>0.4133003658</v>
      </c>
      <c r="J18" s="12">
        <f t="shared" ref="J18:J23" si="13">J2/$J$8</f>
        <v>0.435083893</v>
      </c>
    </row>
    <row r="19">
      <c r="A19" s="60" t="s">
        <v>879</v>
      </c>
      <c r="B19" s="12">
        <f t="shared" si="5"/>
        <v>0.4897495129</v>
      </c>
      <c r="C19" s="12">
        <f t="shared" si="6"/>
        <v>0.469301576</v>
      </c>
      <c r="D19" s="12">
        <f t="shared" si="7"/>
        <v>0.4356064271</v>
      </c>
      <c r="E19" s="12">
        <f t="shared" si="8"/>
        <v>0.4573595176</v>
      </c>
      <c r="F19" s="12">
        <f t="shared" si="9"/>
        <v>0.4289630046</v>
      </c>
      <c r="G19" s="12">
        <f t="shared" si="10"/>
        <v>0.4282318741</v>
      </c>
      <c r="H19" s="12">
        <f t="shared" si="11"/>
        <v>0.4335723542</v>
      </c>
      <c r="I19" s="12">
        <f t="shared" si="12"/>
        <v>0.4104310298</v>
      </c>
      <c r="J19" s="12">
        <f t="shared" si="13"/>
        <v>0.3823238085</v>
      </c>
    </row>
    <row r="20">
      <c r="A20" s="60" t="s">
        <v>880</v>
      </c>
      <c r="B20" s="12">
        <f t="shared" si="5"/>
        <v>0.03184501538</v>
      </c>
      <c r="C20" s="12">
        <f t="shared" si="6"/>
        <v>0.03381224222</v>
      </c>
      <c r="D20" s="12">
        <f t="shared" si="7"/>
        <v>0.03929964694</v>
      </c>
      <c r="E20" s="12">
        <f t="shared" si="8"/>
        <v>0.04591520131</v>
      </c>
      <c r="F20" s="12">
        <f t="shared" si="9"/>
        <v>0.04877958811</v>
      </c>
      <c r="G20" s="12">
        <f t="shared" si="10"/>
        <v>0.05026104413</v>
      </c>
      <c r="H20" s="12">
        <f t="shared" si="11"/>
        <v>0.05299813514</v>
      </c>
      <c r="I20" s="12">
        <f t="shared" si="12"/>
        <v>0.05809043819</v>
      </c>
      <c r="J20" s="12">
        <f t="shared" si="13"/>
        <v>0.0627646037</v>
      </c>
    </row>
    <row r="21">
      <c r="A21" s="60" t="s">
        <v>881</v>
      </c>
      <c r="B21" s="12">
        <f t="shared" si="5"/>
        <v>0.03905704918</v>
      </c>
      <c r="C21" s="12">
        <f t="shared" si="6"/>
        <v>0.03836824998</v>
      </c>
      <c r="D21" s="12">
        <f t="shared" si="7"/>
        <v>0.04233615712</v>
      </c>
      <c r="E21" s="12">
        <f t="shared" si="8"/>
        <v>0.04525250073</v>
      </c>
      <c r="F21" s="12">
        <f t="shared" si="9"/>
        <v>0.0472799655</v>
      </c>
      <c r="G21" s="12">
        <f t="shared" si="10"/>
        <v>0.04816660764</v>
      </c>
      <c r="H21" s="12">
        <f t="shared" si="11"/>
        <v>0.04671726425</v>
      </c>
      <c r="I21" s="12">
        <f t="shared" si="12"/>
        <v>0.04673827865</v>
      </c>
      <c r="J21" s="12">
        <f t="shared" si="13"/>
        <v>0.04826579474</v>
      </c>
    </row>
    <row r="22">
      <c r="A22" s="60" t="s">
        <v>882</v>
      </c>
      <c r="B22" s="12">
        <f t="shared" si="5"/>
        <v>0.002230488647</v>
      </c>
      <c r="C22" s="12">
        <f t="shared" si="6"/>
        <v>0.0006036437136</v>
      </c>
      <c r="D22" s="12">
        <f t="shared" si="7"/>
        <v>0.0006196539408</v>
      </c>
      <c r="E22" s="12">
        <f t="shared" si="8"/>
        <v>0.000601995184</v>
      </c>
      <c r="F22" s="12">
        <f t="shared" si="9"/>
        <v>0.0005079138079</v>
      </c>
      <c r="G22" s="12">
        <f t="shared" si="10"/>
        <v>0.0003736961372</v>
      </c>
      <c r="H22" s="12">
        <f t="shared" si="11"/>
        <v>0.00127427964</v>
      </c>
      <c r="I22" s="12">
        <f t="shared" si="12"/>
        <v>0.001224966688</v>
      </c>
      <c r="J22" s="12">
        <f t="shared" si="13"/>
        <v>0.0003686970431</v>
      </c>
    </row>
    <row r="23">
      <c r="A23" s="60" t="s">
        <v>883</v>
      </c>
      <c r="B23" s="12">
        <f t="shared" si="5"/>
        <v>0.05971347078</v>
      </c>
      <c r="C23" s="12">
        <f t="shared" si="6"/>
        <v>0.06506514436</v>
      </c>
      <c r="D23" s="12">
        <f t="shared" si="7"/>
        <v>0.06460664327</v>
      </c>
      <c r="E23" s="12">
        <f t="shared" si="8"/>
        <v>0.069280034</v>
      </c>
      <c r="F23" s="12">
        <f t="shared" si="9"/>
        <v>0.07059860054</v>
      </c>
      <c r="G23" s="12">
        <f t="shared" si="10"/>
        <v>0.07198973639</v>
      </c>
      <c r="H23" s="12">
        <f t="shared" si="11"/>
        <v>0.07152347114</v>
      </c>
      <c r="I23" s="12">
        <f t="shared" si="12"/>
        <v>0.07021492083</v>
      </c>
      <c r="J23" s="12">
        <f t="shared" si="13"/>
        <v>0.07119320303</v>
      </c>
    </row>
    <row r="24">
      <c r="A24" s="32" t="s">
        <v>837</v>
      </c>
      <c r="B24" s="72">
        <v>1.0</v>
      </c>
      <c r="C24" s="72">
        <v>1.0</v>
      </c>
      <c r="D24" s="72">
        <v>1.0</v>
      </c>
      <c r="E24" s="72">
        <v>1.0</v>
      </c>
      <c r="F24" s="72">
        <v>1.0</v>
      </c>
      <c r="G24" s="72">
        <v>1.0</v>
      </c>
      <c r="H24" s="72">
        <v>1.0</v>
      </c>
      <c r="I24" s="72">
        <v>1.0</v>
      </c>
      <c r="J24" s="72">
        <v>1.0</v>
      </c>
    </row>
    <row r="26">
      <c r="A26" s="32" t="s">
        <v>795</v>
      </c>
      <c r="B26" s="33">
        <v>11898.0</v>
      </c>
      <c r="C26" s="33">
        <v>15033.0</v>
      </c>
      <c r="D26" s="33">
        <v>20005.0</v>
      </c>
      <c r="E26" s="33">
        <v>24870.0</v>
      </c>
      <c r="F26" s="33">
        <v>24143.0</v>
      </c>
      <c r="G26" s="33">
        <v>30976.0</v>
      </c>
      <c r="H26" s="33">
        <v>42840.0</v>
      </c>
      <c r="I26" s="33">
        <v>50789.0</v>
      </c>
      <c r="J26" s="33">
        <v>59358.0</v>
      </c>
    </row>
    <row r="27">
      <c r="A27" s="32" t="s">
        <v>844</v>
      </c>
      <c r="C27" s="18">
        <f t="shared" ref="C27:J27" si="14">C26-B26</f>
        <v>3135</v>
      </c>
      <c r="D27" s="18">
        <f t="shared" si="14"/>
        <v>4972</v>
      </c>
      <c r="E27" s="18">
        <f t="shared" si="14"/>
        <v>4865</v>
      </c>
      <c r="F27" s="18">
        <f t="shared" si="14"/>
        <v>-727</v>
      </c>
      <c r="G27" s="18">
        <f t="shared" si="14"/>
        <v>6833</v>
      </c>
      <c r="H27" s="18">
        <f t="shared" si="14"/>
        <v>11864</v>
      </c>
      <c r="I27" s="18">
        <f t="shared" si="14"/>
        <v>7949</v>
      </c>
      <c r="J27" s="18">
        <f t="shared" si="14"/>
        <v>8569</v>
      </c>
    </row>
    <row r="28">
      <c r="A28" s="32" t="s">
        <v>884</v>
      </c>
      <c r="C28" s="71">
        <f t="shared" ref="C28:J28" si="15">C8-B8</f>
        <v>894.89</v>
      </c>
      <c r="D28" s="71">
        <f t="shared" si="15"/>
        <v>1196.45</v>
      </c>
      <c r="E28" s="71">
        <f t="shared" si="15"/>
        <v>1072.73</v>
      </c>
      <c r="F28" s="71">
        <f t="shared" si="15"/>
        <v>1118.16</v>
      </c>
      <c r="G28" s="71">
        <f t="shared" si="15"/>
        <v>2156.9</v>
      </c>
      <c r="H28" s="71">
        <f t="shared" si="15"/>
        <v>2393.37</v>
      </c>
      <c r="I28" s="71">
        <f t="shared" si="15"/>
        <v>2540.45</v>
      </c>
      <c r="J28" s="71">
        <f t="shared" si="15"/>
        <v>3165.02</v>
      </c>
    </row>
    <row r="30">
      <c r="A30" s="32" t="s">
        <v>886</v>
      </c>
      <c r="C30" s="73">
        <f t="shared" ref="C30:J30" si="16">(C27/C28)</f>
        <v>3.50322386</v>
      </c>
      <c r="D30" s="73">
        <f t="shared" si="16"/>
        <v>4.155627063</v>
      </c>
      <c r="E30" s="73">
        <f t="shared" si="16"/>
        <v>4.535157961</v>
      </c>
      <c r="F30" s="73">
        <f t="shared" si="16"/>
        <v>-0.650175288</v>
      </c>
      <c r="G30" s="73">
        <f t="shared" si="16"/>
        <v>3.167972553</v>
      </c>
      <c r="H30" s="73">
        <f t="shared" si="16"/>
        <v>4.957027121</v>
      </c>
      <c r="I30" s="73">
        <f t="shared" si="16"/>
        <v>3.128973213</v>
      </c>
      <c r="J30" s="73">
        <f t="shared" si="16"/>
        <v>2.707407852</v>
      </c>
    </row>
    <row r="32">
      <c r="A32" s="32" t="s">
        <v>887</v>
      </c>
      <c r="B32" s="73">
        <f>B26/'Balance Sheet'!B9</f>
        <v>4.677015484</v>
      </c>
      <c r="C32" s="73">
        <f>C26/'Balance Sheet'!C9</f>
        <v>4.588813831</v>
      </c>
      <c r="D32" s="73">
        <f>D26/'Balance Sheet'!D9</f>
        <v>4.680594193</v>
      </c>
      <c r="E32" s="73">
        <f>E26/'Balance Sheet'!E9</f>
        <v>4.869443313</v>
      </c>
      <c r="F32" s="73">
        <f>F26/'Balance Sheet'!F9</f>
        <v>4.065504757</v>
      </c>
      <c r="G32" s="73">
        <f>G26/'Balance Sheet'!G9</f>
        <v>3.986379185</v>
      </c>
      <c r="H32" s="73">
        <f>H26/'Balance Sheet'!H9</f>
        <v>4.404865093</v>
      </c>
      <c r="I32" s="73">
        <f>I26/'Balance Sheet'!I9</f>
        <v>4.319090005</v>
      </c>
      <c r="J32" s="73">
        <f>J26/'Balance Sheet'!J9</f>
        <v>4.136494997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</cols>
  <sheetData>
    <row r="1">
      <c r="A1" s="32" t="s">
        <v>794</v>
      </c>
      <c r="B1" s="40">
        <v>43525.0</v>
      </c>
      <c r="C1" s="41">
        <v>43891.0</v>
      </c>
      <c r="D1" s="41">
        <v>44256.0</v>
      </c>
      <c r="E1" s="41">
        <v>44621.0</v>
      </c>
      <c r="F1" s="41">
        <v>44986.0</v>
      </c>
      <c r="G1" s="41">
        <v>45352.0</v>
      </c>
      <c r="H1" s="42">
        <v>45717.0</v>
      </c>
    </row>
    <row r="2">
      <c r="A2" s="32" t="s">
        <v>795</v>
      </c>
      <c r="B2" s="33">
        <v>20005.0</v>
      </c>
      <c r="C2" s="33">
        <v>24870.0</v>
      </c>
      <c r="D2" s="33">
        <v>24143.0</v>
      </c>
      <c r="E2" s="33">
        <v>30976.0</v>
      </c>
      <c r="F2" s="33">
        <v>42840.0</v>
      </c>
      <c r="G2" s="33">
        <v>50789.0</v>
      </c>
      <c r="H2" s="33">
        <v>59358.0</v>
      </c>
    </row>
    <row r="3">
      <c r="A3" s="32" t="s">
        <v>888</v>
      </c>
      <c r="B3" s="12"/>
      <c r="C3" s="12">
        <f t="shared" ref="C3:H3" si="1">(C2-B2)/C2</f>
        <v>0.1956172095</v>
      </c>
      <c r="D3" s="12">
        <f t="shared" si="1"/>
        <v>-0.03011224786</v>
      </c>
      <c r="E3" s="12">
        <f t="shared" si="1"/>
        <v>0.2205901343</v>
      </c>
      <c r="F3" s="12">
        <f t="shared" si="1"/>
        <v>0.2769374416</v>
      </c>
      <c r="G3" s="12">
        <f t="shared" si="1"/>
        <v>0.156510268</v>
      </c>
      <c r="H3" s="12">
        <f t="shared" si="1"/>
        <v>0.1443613329</v>
      </c>
    </row>
    <row r="4">
      <c r="A4" s="32"/>
      <c r="B4" s="55"/>
      <c r="C4" s="55"/>
      <c r="D4" s="55"/>
      <c r="E4" s="33"/>
      <c r="F4" s="33"/>
      <c r="G4" s="33"/>
      <c r="H4" s="33"/>
    </row>
    <row r="5">
      <c r="A5" s="32" t="s">
        <v>871</v>
      </c>
      <c r="B5" s="55">
        <v>1608.65</v>
      </c>
      <c r="C5" s="55">
        <v>1947.4</v>
      </c>
      <c r="D5" s="55">
        <v>2248.28</v>
      </c>
      <c r="E5" s="33">
        <v>2742.66</v>
      </c>
      <c r="F5" s="33">
        <v>3243.48</v>
      </c>
      <c r="G5" s="33">
        <v>3927.23</v>
      </c>
      <c r="H5" s="33">
        <v>5044.37</v>
      </c>
    </row>
    <row r="6">
      <c r="A6" s="32" t="s">
        <v>889</v>
      </c>
      <c r="B6" s="12"/>
      <c r="C6" s="12">
        <f t="shared" ref="C6:H6" si="2">(C5-B5)/C5</f>
        <v>0.1739498819</v>
      </c>
      <c r="D6" s="12">
        <f t="shared" si="2"/>
        <v>0.1338267476</v>
      </c>
      <c r="E6" s="12">
        <f t="shared" si="2"/>
        <v>0.1802556642</v>
      </c>
      <c r="F6" s="12">
        <f t="shared" si="2"/>
        <v>0.1544082282</v>
      </c>
      <c r="G6" s="12">
        <f t="shared" si="2"/>
        <v>0.1741049035</v>
      </c>
      <c r="H6" s="12">
        <f t="shared" si="2"/>
        <v>0.2214627396</v>
      </c>
    </row>
    <row r="7">
      <c r="A7" s="32"/>
    </row>
    <row r="8">
      <c r="A8" s="7" t="s">
        <v>825</v>
      </c>
      <c r="B8" s="33">
        <v>17000.84</v>
      </c>
      <c r="C8" s="33">
        <v>21102.93</v>
      </c>
      <c r="D8" s="33">
        <v>20554.68</v>
      </c>
      <c r="E8" s="33">
        <v>26407.39</v>
      </c>
      <c r="F8" s="33">
        <v>36383.95</v>
      </c>
      <c r="G8" s="33">
        <v>43274.54</v>
      </c>
      <c r="H8" s="33">
        <v>50551.7</v>
      </c>
    </row>
    <row r="9">
      <c r="A9" s="32" t="s">
        <v>890</v>
      </c>
      <c r="B9" s="12">
        <f t="shared" ref="B9:H9" si="3">B5/B8</f>
        <v>0.09462179516</v>
      </c>
      <c r="C9" s="12">
        <f t="shared" si="3"/>
        <v>0.09228102448</v>
      </c>
      <c r="D9" s="12">
        <f t="shared" si="3"/>
        <v>0.1093804428</v>
      </c>
      <c r="E9" s="12">
        <f t="shared" si="3"/>
        <v>0.1038595636</v>
      </c>
      <c r="F9" s="12">
        <f t="shared" si="3"/>
        <v>0.08914590087</v>
      </c>
      <c r="G9" s="12">
        <f t="shared" si="3"/>
        <v>0.09075151348</v>
      </c>
      <c r="H9" s="12">
        <f t="shared" si="3"/>
        <v>0.09978635733</v>
      </c>
    </row>
    <row r="10">
      <c r="A10" s="32" t="s">
        <v>891</v>
      </c>
      <c r="B10" s="33">
        <f>('Balance Sheet'!C14+'Balance Sheet'!D14)/2</f>
        <v>1386.05</v>
      </c>
      <c r="C10" s="33">
        <f>('Balance Sheet'!D14+'Balance Sheet'!E14)/2</f>
        <v>1778.025</v>
      </c>
      <c r="D10" s="33">
        <f>('Balance Sheet'!E14+'Balance Sheet'!F14)/2</f>
        <v>2097.84</v>
      </c>
      <c r="E10" s="33">
        <f>('Balance Sheet'!F14+'Balance Sheet'!G14)/2</f>
        <v>2495.47</v>
      </c>
      <c r="F10" s="33">
        <f>('Balance Sheet'!G14+'Balance Sheet'!H14)/2</f>
        <v>2993.07</v>
      </c>
      <c r="G10" s="33">
        <f>('Balance Sheet'!H14+'Balance Sheet'!I14)/2</f>
        <v>3585.355</v>
      </c>
      <c r="H10" s="33">
        <f>('Balance Sheet'!I14+'Balance Sheet'!J14)/2</f>
        <v>4485.8</v>
      </c>
    </row>
    <row r="11">
      <c r="A11" s="32" t="s">
        <v>892</v>
      </c>
      <c r="B11" s="33">
        <f t="shared" ref="B11:H11" si="4">B8/B10</f>
        <v>12.26567584</v>
      </c>
      <c r="C11" s="33">
        <f t="shared" si="4"/>
        <v>11.86874763</v>
      </c>
      <c r="D11" s="33">
        <f t="shared" si="4"/>
        <v>9.798020821</v>
      </c>
      <c r="E11" s="33">
        <f t="shared" si="4"/>
        <v>10.58213082</v>
      </c>
      <c r="F11" s="33">
        <f t="shared" si="4"/>
        <v>12.15606384</v>
      </c>
      <c r="G11" s="33">
        <f t="shared" si="4"/>
        <v>12.0698062</v>
      </c>
      <c r="H11" s="33">
        <f t="shared" si="4"/>
        <v>11.26927192</v>
      </c>
    </row>
    <row r="12">
      <c r="A12" s="32" t="s">
        <v>893</v>
      </c>
      <c r="B12" s="33">
        <f t="shared" ref="B12:H12" si="5">(B10/B8)*365</f>
        <v>29.75783844</v>
      </c>
      <c r="C12" s="33">
        <f t="shared" si="5"/>
        <v>30.75303406</v>
      </c>
      <c r="D12" s="33">
        <f t="shared" si="5"/>
        <v>37.25242135</v>
      </c>
      <c r="E12" s="33">
        <f t="shared" si="5"/>
        <v>34.49210808</v>
      </c>
      <c r="F12" s="33">
        <f t="shared" si="5"/>
        <v>30.02616676</v>
      </c>
      <c r="G12" s="33">
        <f t="shared" si="5"/>
        <v>30.24075068</v>
      </c>
      <c r="H12" s="33">
        <f t="shared" si="5"/>
        <v>32.38896021</v>
      </c>
    </row>
    <row r="13">
      <c r="B13" s="33"/>
      <c r="C13" s="33"/>
      <c r="D13" s="33"/>
      <c r="E13" s="33"/>
      <c r="F13" s="33"/>
      <c r="G13" s="33"/>
      <c r="H13" s="33"/>
    </row>
    <row r="28">
      <c r="B28" s="54" t="s">
        <v>856</v>
      </c>
    </row>
    <row r="42">
      <c r="B42" s="54" t="s">
        <v>847</v>
      </c>
    </row>
    <row r="43">
      <c r="A43" s="32" t="s">
        <v>794</v>
      </c>
      <c r="B43" s="41">
        <v>44256.0</v>
      </c>
      <c r="C43" s="41">
        <v>44621.0</v>
      </c>
      <c r="D43" s="41">
        <v>44986.0</v>
      </c>
      <c r="E43" s="41">
        <v>45352.0</v>
      </c>
      <c r="F43" s="42">
        <v>45717.0</v>
      </c>
      <c r="H43" s="32" t="s">
        <v>894</v>
      </c>
      <c r="I43" s="32" t="s">
        <v>795</v>
      </c>
      <c r="J43" s="32" t="s">
        <v>888</v>
      </c>
      <c r="K43" s="32"/>
      <c r="L43" s="32" t="s">
        <v>871</v>
      </c>
      <c r="M43" s="32" t="s">
        <v>889</v>
      </c>
      <c r="N43" s="32"/>
      <c r="O43" s="7" t="s">
        <v>825</v>
      </c>
      <c r="P43" s="32" t="s">
        <v>890</v>
      </c>
      <c r="Q43" s="32" t="s">
        <v>891</v>
      </c>
      <c r="R43" s="32" t="s">
        <v>892</v>
      </c>
      <c r="S43" s="32" t="s">
        <v>893</v>
      </c>
    </row>
    <row r="44">
      <c r="A44" s="32" t="s">
        <v>795</v>
      </c>
      <c r="B44" s="33">
        <v>136911.0</v>
      </c>
      <c r="C44" s="55">
        <v>170133.0</v>
      </c>
      <c r="D44" s="33">
        <v>223653.0</v>
      </c>
      <c r="E44" s="33">
        <v>258388.0</v>
      </c>
      <c r="F44" s="33">
        <v>271012.0</v>
      </c>
      <c r="H44" s="41">
        <v>44256.0</v>
      </c>
      <c r="I44" s="33">
        <v>136911.0</v>
      </c>
      <c r="J44" s="12"/>
      <c r="K44" s="55"/>
      <c r="L44" s="33">
        <v>12354.79</v>
      </c>
      <c r="M44" s="12"/>
      <c r="O44" s="33">
        <v>117940.34</v>
      </c>
      <c r="P44" s="12">
        <f t="shared" ref="P44:P48" si="7">L44/O44</f>
        <v>0.1047545734</v>
      </c>
      <c r="Q44" s="33">
        <v>10851.475</v>
      </c>
      <c r="R44" s="33">
        <f t="shared" ref="R44:R48" si="8">O44/Q44</f>
        <v>10.86859989</v>
      </c>
      <c r="S44" s="33">
        <f t="shared" ref="S44:S48" si="9">(Q44/O44)*365</f>
        <v>33.58298251</v>
      </c>
    </row>
    <row r="45">
      <c r="A45" s="32" t="s">
        <v>888</v>
      </c>
      <c r="B45" s="12"/>
      <c r="C45" s="12">
        <f t="shared" ref="C45:F45" si="6">(C44-B44)/C44</f>
        <v>0.1952707588</v>
      </c>
      <c r="D45" s="12">
        <f t="shared" si="6"/>
        <v>0.2392992716</v>
      </c>
      <c r="E45" s="12">
        <f t="shared" si="6"/>
        <v>0.1344296175</v>
      </c>
      <c r="F45" s="12">
        <f t="shared" si="6"/>
        <v>0.0465809632</v>
      </c>
      <c r="H45" s="41">
        <v>44621.0</v>
      </c>
      <c r="I45" s="55">
        <v>170133.0</v>
      </c>
      <c r="J45" s="12">
        <f t="shared" ref="J45:J48" si="10">(I45-I44)/I45</f>
        <v>0.1952707588</v>
      </c>
      <c r="K45" s="33"/>
      <c r="L45" s="33">
        <v>20072.07</v>
      </c>
      <c r="M45" s="12">
        <f t="shared" ref="M45:M48" si="11">(L45-L44)/L45</f>
        <v>0.3844785316</v>
      </c>
      <c r="O45" s="33">
        <v>147485.2</v>
      </c>
      <c r="P45" s="12">
        <f t="shared" si="7"/>
        <v>0.1360954862</v>
      </c>
      <c r="Q45" s="33">
        <f t="shared" ref="Q45:Q48" si="12">(L44+L45)/2</f>
        <v>16213.43</v>
      </c>
      <c r="R45" s="33">
        <f t="shared" si="8"/>
        <v>9.096483594</v>
      </c>
      <c r="S45" s="33">
        <f t="shared" si="9"/>
        <v>40.12539529</v>
      </c>
    </row>
    <row r="46">
      <c r="A46" s="32"/>
      <c r="B46" s="55"/>
      <c r="C46" s="33"/>
      <c r="D46" s="33"/>
      <c r="E46" s="33"/>
      <c r="F46" s="33"/>
      <c r="H46" s="41">
        <v>44986.0</v>
      </c>
      <c r="I46" s="33">
        <v>223653.0</v>
      </c>
      <c r="J46" s="12">
        <f t="shared" si="10"/>
        <v>0.2392992716</v>
      </c>
      <c r="K46" s="33"/>
      <c r="L46" s="33">
        <v>24969.0</v>
      </c>
      <c r="M46" s="12">
        <f t="shared" si="11"/>
        <v>0.1961203893</v>
      </c>
      <c r="O46" s="33">
        <v>192986.0</v>
      </c>
      <c r="P46" s="12">
        <f t="shared" si="7"/>
        <v>0.1293824422</v>
      </c>
      <c r="Q46" s="33">
        <f t="shared" si="12"/>
        <v>22520.535</v>
      </c>
      <c r="R46" s="33">
        <f t="shared" si="8"/>
        <v>8.56933461</v>
      </c>
      <c r="S46" s="33">
        <f t="shared" si="9"/>
        <v>42.59373879</v>
      </c>
    </row>
    <row r="47">
      <c r="A47" s="32" t="s">
        <v>871</v>
      </c>
      <c r="B47" s="33">
        <v>12354.79</v>
      </c>
      <c r="C47" s="33">
        <v>20072.07</v>
      </c>
      <c r="D47" s="33">
        <v>24969.0</v>
      </c>
      <c r="E47" s="33">
        <v>20983.0</v>
      </c>
      <c r="F47" s="33">
        <v>18937.0</v>
      </c>
      <c r="H47" s="41">
        <v>45352.0</v>
      </c>
      <c r="I47" s="33">
        <v>258388.0</v>
      </c>
      <c r="J47" s="12">
        <f t="shared" si="10"/>
        <v>0.1344296175</v>
      </c>
      <c r="K47" s="33"/>
      <c r="L47" s="33">
        <v>20983.0</v>
      </c>
      <c r="M47" s="12">
        <f t="shared" si="11"/>
        <v>-0.1899633036</v>
      </c>
      <c r="O47" s="33">
        <v>223306.0</v>
      </c>
      <c r="P47" s="12">
        <f t="shared" si="7"/>
        <v>0.09396523157</v>
      </c>
      <c r="Q47" s="33">
        <f t="shared" si="12"/>
        <v>22976</v>
      </c>
      <c r="R47" s="33">
        <f t="shared" si="8"/>
        <v>9.719098189</v>
      </c>
      <c r="S47" s="33">
        <f t="shared" si="9"/>
        <v>37.55492463</v>
      </c>
    </row>
    <row r="48">
      <c r="A48" s="32" t="s">
        <v>889</v>
      </c>
      <c r="B48" s="12"/>
      <c r="C48" s="12">
        <f t="shared" ref="C48:F48" si="13">(C47-B47)/C47</f>
        <v>0.3844785316</v>
      </c>
      <c r="D48" s="12">
        <f t="shared" si="13"/>
        <v>0.1961203893</v>
      </c>
      <c r="E48" s="12">
        <f t="shared" si="13"/>
        <v>-0.1899633036</v>
      </c>
      <c r="F48" s="12">
        <f t="shared" si="13"/>
        <v>-0.1080424566</v>
      </c>
      <c r="H48" s="42">
        <v>45717.0</v>
      </c>
      <c r="I48" s="33">
        <v>271012.0</v>
      </c>
      <c r="J48" s="12">
        <f t="shared" si="10"/>
        <v>0.0465809632</v>
      </c>
      <c r="K48" s="33"/>
      <c r="L48" s="33">
        <v>18937.0</v>
      </c>
      <c r="M48" s="12">
        <f t="shared" si="11"/>
        <v>-0.1080424566</v>
      </c>
      <c r="O48" s="33">
        <v>233997.0</v>
      </c>
      <c r="P48" s="12">
        <f t="shared" si="7"/>
        <v>0.08092838797</v>
      </c>
      <c r="Q48" s="33">
        <f t="shared" si="12"/>
        <v>19960</v>
      </c>
      <c r="R48" s="33">
        <f t="shared" si="8"/>
        <v>11.72329659</v>
      </c>
      <c r="S48" s="33">
        <f t="shared" si="9"/>
        <v>31.1345872</v>
      </c>
    </row>
    <row r="49">
      <c r="A49" s="32"/>
    </row>
    <row r="50">
      <c r="A50" s="7" t="s">
        <v>825</v>
      </c>
      <c r="B50" s="33">
        <v>117940.34</v>
      </c>
      <c r="C50" s="33">
        <v>147485.2</v>
      </c>
      <c r="D50" s="33">
        <v>192986.0</v>
      </c>
      <c r="E50" s="33">
        <v>223306.0</v>
      </c>
      <c r="F50" s="33">
        <v>233997.0</v>
      </c>
    </row>
    <row r="51">
      <c r="A51" s="32" t="s">
        <v>890</v>
      </c>
      <c r="B51" s="12">
        <f t="shared" ref="B51:F51" si="14">B47/B50</f>
        <v>0.1047545734</v>
      </c>
      <c r="C51" s="12">
        <f t="shared" si="14"/>
        <v>0.1360954862</v>
      </c>
      <c r="D51" s="12">
        <f t="shared" si="14"/>
        <v>0.1293824422</v>
      </c>
      <c r="E51" s="12">
        <f t="shared" si="14"/>
        <v>0.09396523157</v>
      </c>
      <c r="F51" s="12">
        <f t="shared" si="14"/>
        <v>0.08092838797</v>
      </c>
    </row>
    <row r="52">
      <c r="A52" s="32" t="s">
        <v>891</v>
      </c>
      <c r="B52" s="33">
        <f>('Peers-Balance Sheets'!C59+'Peers-Balance Sheets'!B59)/2</f>
        <v>10851.475</v>
      </c>
      <c r="C52" s="33">
        <f>('Peers-Balance Sheets'!D59+'Peers-Balance Sheets'!C59)/2</f>
        <v>16213.43</v>
      </c>
      <c r="D52" s="33">
        <f>('Peers-Balance Sheets'!E59+'Peers-Balance Sheets'!D59)/2</f>
        <v>22520.535</v>
      </c>
      <c r="E52" s="33">
        <f>('Peers-Balance Sheets'!F59+'Peers-Balance Sheets'!E59)/2</f>
        <v>22976</v>
      </c>
      <c r="F52" s="33">
        <f>('Peers-Balance Sheets'!G59+'Peers-Balance Sheets'!F59)/2</f>
        <v>19960</v>
      </c>
    </row>
    <row r="53">
      <c r="A53" s="32" t="s">
        <v>892</v>
      </c>
      <c r="B53" s="33">
        <f t="shared" ref="B53:F53" si="15">B50/B52</f>
        <v>10.86859989</v>
      </c>
      <c r="C53" s="33">
        <f t="shared" si="15"/>
        <v>9.096483594</v>
      </c>
      <c r="D53" s="33">
        <f t="shared" si="15"/>
        <v>8.56933461</v>
      </c>
      <c r="E53" s="33">
        <f t="shared" si="15"/>
        <v>9.719098189</v>
      </c>
      <c r="F53" s="33">
        <f t="shared" si="15"/>
        <v>11.72329659</v>
      </c>
    </row>
    <row r="54">
      <c r="A54" s="32" t="s">
        <v>893</v>
      </c>
      <c r="B54" s="33">
        <f t="shared" ref="B54:F54" si="16">(B52/B50)*365</f>
        <v>33.58298251</v>
      </c>
      <c r="C54" s="33">
        <f t="shared" si="16"/>
        <v>40.12539529</v>
      </c>
      <c r="D54" s="33">
        <f t="shared" si="16"/>
        <v>42.59373879</v>
      </c>
      <c r="E54" s="33">
        <f t="shared" si="16"/>
        <v>37.55492463</v>
      </c>
      <c r="F54" s="33">
        <f t="shared" si="16"/>
        <v>31.1345872</v>
      </c>
      <c r="H54" s="32" t="s">
        <v>794</v>
      </c>
      <c r="I54" s="32" t="s">
        <v>795</v>
      </c>
      <c r="J54" s="32" t="s">
        <v>888</v>
      </c>
      <c r="K54" s="32"/>
      <c r="L54" s="32" t="s">
        <v>871</v>
      </c>
      <c r="M54" s="32" t="s">
        <v>889</v>
      </c>
      <c r="N54" s="32"/>
      <c r="O54" s="7" t="s">
        <v>825</v>
      </c>
      <c r="P54" s="32" t="s">
        <v>890</v>
      </c>
      <c r="Q54" s="32" t="s">
        <v>891</v>
      </c>
      <c r="R54" s="32" t="s">
        <v>892</v>
      </c>
      <c r="S54" s="32" t="s">
        <v>893</v>
      </c>
    </row>
    <row r="55">
      <c r="H55" s="41">
        <v>44256.0</v>
      </c>
      <c r="I55" s="33">
        <v>4452.44</v>
      </c>
      <c r="J55" s="12"/>
      <c r="K55" s="55"/>
      <c r="L55" s="74">
        <v>969.53</v>
      </c>
      <c r="M55" s="12"/>
      <c r="O55" s="33">
        <v>3225.81</v>
      </c>
      <c r="P55" s="12">
        <f t="shared" ref="P55:P59" si="17">L55/O55</f>
        <v>0.3005539694</v>
      </c>
      <c r="Q55" s="33">
        <v>1040.725</v>
      </c>
      <c r="R55" s="33">
        <f t="shared" ref="R55:R59" si="18">O55/Q55</f>
        <v>3.09957962</v>
      </c>
      <c r="S55" s="33">
        <f t="shared" ref="S55:S59" si="19">(Q55/O55)*365</f>
        <v>117.7579042</v>
      </c>
    </row>
    <row r="56">
      <c r="H56" s="41">
        <v>44621.0</v>
      </c>
      <c r="I56" s="55">
        <v>5588.51</v>
      </c>
      <c r="J56" s="12">
        <f t="shared" ref="J56:J59" si="20">(I56-I55)/I56</f>
        <v>0.2032867437</v>
      </c>
      <c r="K56" s="33"/>
      <c r="L56" s="74">
        <v>1215.98</v>
      </c>
      <c r="M56" s="12">
        <f t="shared" ref="M56:M59" si="21">(L56-L55)/L56</f>
        <v>0.2026760309</v>
      </c>
      <c r="O56" s="33">
        <v>4014.61</v>
      </c>
      <c r="P56" s="12">
        <f t="shared" si="17"/>
        <v>0.302888699</v>
      </c>
      <c r="Q56" s="33">
        <f t="shared" ref="Q56:Q59" si="22">(L55+L56)/2</f>
        <v>1092.755</v>
      </c>
      <c r="R56" s="33">
        <f t="shared" si="18"/>
        <v>3.673842719</v>
      </c>
      <c r="S56" s="33">
        <f t="shared" si="19"/>
        <v>99.35101417</v>
      </c>
    </row>
    <row r="57">
      <c r="B57" s="54" t="s">
        <v>895</v>
      </c>
      <c r="H57" s="41">
        <v>44986.0</v>
      </c>
      <c r="I57" s="33">
        <v>7586.04</v>
      </c>
      <c r="J57" s="12">
        <f t="shared" si="20"/>
        <v>0.2633165657</v>
      </c>
      <c r="K57" s="33"/>
      <c r="L57" s="74">
        <v>1409.74</v>
      </c>
      <c r="M57" s="12">
        <f t="shared" si="21"/>
        <v>0.137443784</v>
      </c>
      <c r="O57" s="33">
        <v>5526.33</v>
      </c>
      <c r="P57" s="12">
        <f t="shared" si="17"/>
        <v>0.2550951536</v>
      </c>
      <c r="Q57" s="33">
        <f t="shared" si="22"/>
        <v>1312.86</v>
      </c>
      <c r="R57" s="33">
        <f t="shared" si="18"/>
        <v>4.209382569</v>
      </c>
      <c r="S57" s="33">
        <f t="shared" si="19"/>
        <v>86.71105417</v>
      </c>
    </row>
    <row r="58">
      <c r="A58" s="32" t="s">
        <v>794</v>
      </c>
      <c r="B58" s="41">
        <v>44256.0</v>
      </c>
      <c r="C58" s="41">
        <v>44621.0</v>
      </c>
      <c r="D58" s="41">
        <v>44986.0</v>
      </c>
      <c r="E58" s="41">
        <v>45352.0</v>
      </c>
      <c r="F58" s="42">
        <v>45717.0</v>
      </c>
      <c r="H58" s="41">
        <v>45352.0</v>
      </c>
      <c r="I58" s="33">
        <v>8911.95</v>
      </c>
      <c r="J58" s="12">
        <f t="shared" si="20"/>
        <v>0.1487788868</v>
      </c>
      <c r="K58" s="33"/>
      <c r="L58" s="74">
        <v>1464.97</v>
      </c>
      <c r="M58" s="12">
        <f t="shared" si="21"/>
        <v>0.03770043073</v>
      </c>
      <c r="O58" s="33">
        <v>6446.06</v>
      </c>
      <c r="P58" s="12">
        <f t="shared" si="17"/>
        <v>0.2272659578</v>
      </c>
      <c r="Q58" s="33">
        <f t="shared" si="22"/>
        <v>1437.355</v>
      </c>
      <c r="R58" s="33">
        <f t="shared" si="18"/>
        <v>4.484668019</v>
      </c>
      <c r="S58" s="33">
        <f t="shared" si="19"/>
        <v>81.38841013</v>
      </c>
    </row>
    <row r="59">
      <c r="A59" s="32" t="s">
        <v>795</v>
      </c>
      <c r="B59" s="33">
        <v>4452.44</v>
      </c>
      <c r="C59" s="55">
        <v>5588.51</v>
      </c>
      <c r="D59" s="33">
        <v>7586.04</v>
      </c>
      <c r="E59" s="33">
        <v>8911.95</v>
      </c>
      <c r="F59" s="33">
        <v>10716.34</v>
      </c>
      <c r="H59" s="42">
        <v>45717.0</v>
      </c>
      <c r="I59" s="33">
        <v>10716.34</v>
      </c>
      <c r="J59" s="12">
        <f t="shared" si="20"/>
        <v>0.1683774498</v>
      </c>
      <c r="K59" s="33"/>
      <c r="L59" s="74">
        <v>1850.3</v>
      </c>
      <c r="M59" s="12">
        <f t="shared" si="21"/>
        <v>0.2082527158</v>
      </c>
      <c r="O59" s="33">
        <v>7663.62</v>
      </c>
      <c r="P59" s="12">
        <f t="shared" si="17"/>
        <v>0.2414394242</v>
      </c>
      <c r="Q59" s="33">
        <f t="shared" si="22"/>
        <v>1657.635</v>
      </c>
      <c r="R59" s="33">
        <f t="shared" si="18"/>
        <v>4.623225258</v>
      </c>
      <c r="S59" s="33">
        <f t="shared" si="19"/>
        <v>78.94921395</v>
      </c>
    </row>
    <row r="60">
      <c r="A60" s="32" t="s">
        <v>888</v>
      </c>
      <c r="B60" s="12"/>
      <c r="C60" s="12">
        <f t="shared" ref="C60:F60" si="23">(C59-B59)/C59</f>
        <v>0.2032867437</v>
      </c>
      <c r="D60" s="12">
        <f t="shared" si="23"/>
        <v>0.2633165657</v>
      </c>
      <c r="E60" s="12">
        <f t="shared" si="23"/>
        <v>0.1487788868</v>
      </c>
      <c r="F60" s="12">
        <f t="shared" si="23"/>
        <v>0.1683774498</v>
      </c>
    </row>
    <row r="61">
      <c r="A61" s="32"/>
      <c r="B61" s="55"/>
      <c r="C61" s="33"/>
      <c r="D61" s="33"/>
      <c r="E61" s="33"/>
      <c r="F61" s="33"/>
    </row>
    <row r="62">
      <c r="A62" s="32" t="s">
        <v>871</v>
      </c>
      <c r="B62" s="74">
        <v>969.53</v>
      </c>
      <c r="C62" s="74">
        <v>1215.98</v>
      </c>
      <c r="D62" s="74">
        <v>1409.74</v>
      </c>
      <c r="E62" s="74">
        <v>1464.97</v>
      </c>
      <c r="F62" s="74">
        <v>1850.3</v>
      </c>
    </row>
    <row r="63">
      <c r="A63" s="32" t="s">
        <v>889</v>
      </c>
      <c r="B63" s="12"/>
      <c r="C63" s="12">
        <f t="shared" ref="C63:F63" si="24">(C62-B62)/C62</f>
        <v>0.2026760309</v>
      </c>
      <c r="D63" s="12">
        <f t="shared" si="24"/>
        <v>0.137443784</v>
      </c>
      <c r="E63" s="12">
        <f t="shared" si="24"/>
        <v>0.03770043073</v>
      </c>
      <c r="F63" s="12">
        <f t="shared" si="24"/>
        <v>0.2082527158</v>
      </c>
    </row>
    <row r="64">
      <c r="A64" s="32"/>
    </row>
    <row r="65">
      <c r="A65" s="7" t="s">
        <v>825</v>
      </c>
      <c r="B65" s="33">
        <v>3225.81</v>
      </c>
      <c r="C65" s="33">
        <v>4014.61</v>
      </c>
      <c r="D65" s="33">
        <v>5526.33</v>
      </c>
      <c r="E65" s="33">
        <v>6446.06</v>
      </c>
      <c r="F65" s="33">
        <v>7663.62</v>
      </c>
      <c r="H65" s="32" t="s">
        <v>794</v>
      </c>
      <c r="I65" s="32" t="s">
        <v>795</v>
      </c>
      <c r="J65" s="32" t="s">
        <v>888</v>
      </c>
      <c r="K65" s="32"/>
      <c r="L65" s="32" t="s">
        <v>871</v>
      </c>
      <c r="M65" s="32" t="s">
        <v>889</v>
      </c>
      <c r="N65" s="32"/>
      <c r="O65" s="7" t="s">
        <v>825</v>
      </c>
      <c r="P65" s="32" t="s">
        <v>890</v>
      </c>
      <c r="Q65" s="32" t="s">
        <v>891</v>
      </c>
      <c r="R65" s="32" t="s">
        <v>892</v>
      </c>
      <c r="S65" s="32" t="s">
        <v>893</v>
      </c>
    </row>
    <row r="66">
      <c r="A66" s="32" t="s">
        <v>890</v>
      </c>
      <c r="B66" s="12">
        <f t="shared" ref="B66:F66" si="25">B62/B65</f>
        <v>0.3005539694</v>
      </c>
      <c r="C66" s="12">
        <f t="shared" si="25"/>
        <v>0.302888699</v>
      </c>
      <c r="D66" s="12">
        <f t="shared" si="25"/>
        <v>0.2550951536</v>
      </c>
      <c r="E66" s="12">
        <f t="shared" si="25"/>
        <v>0.2272659578</v>
      </c>
      <c r="F66" s="12">
        <f t="shared" si="25"/>
        <v>0.2414394242</v>
      </c>
      <c r="H66" s="41">
        <v>44256.0</v>
      </c>
      <c r="I66" s="33">
        <v>1075.46</v>
      </c>
      <c r="J66" s="12"/>
      <c r="K66" s="55"/>
      <c r="L66" s="33">
        <v>428.3</v>
      </c>
      <c r="M66" s="12"/>
      <c r="O66" s="33">
        <v>723.56</v>
      </c>
      <c r="P66" s="12">
        <f t="shared" ref="P66:P70" si="26">L66/O66</f>
        <v>0.5919343247</v>
      </c>
      <c r="Q66" s="33">
        <v>453.11</v>
      </c>
      <c r="R66" s="33">
        <f t="shared" ref="R66:R70" si="27">O66/Q66</f>
        <v>1.596874931</v>
      </c>
      <c r="S66" s="33">
        <f t="shared" ref="S66:S70" si="28">(Q66/O66)*365</f>
        <v>228.5714384</v>
      </c>
    </row>
    <row r="67">
      <c r="A67" s="32" t="s">
        <v>891</v>
      </c>
      <c r="B67" s="33">
        <f>('Peers-Balance Sheets'!B15+'Peers-Balance Sheets'!C15)/2</f>
        <v>1040.725</v>
      </c>
      <c r="C67" s="33">
        <f>('Peers-Balance Sheets'!C15+'Peers-Balance Sheets'!D15)/2</f>
        <v>1092.755</v>
      </c>
      <c r="D67" s="33">
        <f>('Peers-Balance Sheets'!D15+'Peers-Balance Sheets'!E15)/2</f>
        <v>1312.86</v>
      </c>
      <c r="E67" s="33">
        <f>('Peers-Balance Sheets'!E15+'Peers-Balance Sheets'!F15)/2</f>
        <v>1437.355</v>
      </c>
      <c r="F67" s="33">
        <f>('Peers-Balance Sheets'!F15+'Peers-Balance Sheets'!G15)/2</f>
        <v>1657.635</v>
      </c>
      <c r="H67" s="41">
        <v>44621.0</v>
      </c>
      <c r="I67" s="55">
        <v>1666.17</v>
      </c>
      <c r="J67" s="12">
        <f t="shared" ref="J67:J70" si="30">(I67-I66)/I67</f>
        <v>0.3545316504</v>
      </c>
      <c r="K67" s="33"/>
      <c r="L67" s="33">
        <v>668.22</v>
      </c>
      <c r="M67" s="12">
        <f t="shared" ref="M67:M70" si="31">(L67-L66)/L67</f>
        <v>0.3590434288</v>
      </c>
      <c r="O67" s="33">
        <v>1091.11</v>
      </c>
      <c r="P67" s="12">
        <f t="shared" si="26"/>
        <v>0.6124222122</v>
      </c>
      <c r="Q67" s="33">
        <f t="shared" ref="Q67:Q70" si="32">(L66+L67)/2</f>
        <v>548.26</v>
      </c>
      <c r="R67" s="33">
        <f t="shared" si="27"/>
        <v>1.990132419</v>
      </c>
      <c r="S67" s="33">
        <f t="shared" si="28"/>
        <v>183.4048813</v>
      </c>
    </row>
    <row r="68">
      <c r="A68" s="32" t="s">
        <v>892</v>
      </c>
      <c r="B68" s="33">
        <f t="shared" ref="B68:F68" si="29">B65/B67</f>
        <v>3.09957962</v>
      </c>
      <c r="C68" s="33">
        <f t="shared" si="29"/>
        <v>3.673842719</v>
      </c>
      <c r="D68" s="33">
        <f t="shared" si="29"/>
        <v>4.209382569</v>
      </c>
      <c r="E68" s="33">
        <f t="shared" si="29"/>
        <v>4.484668019</v>
      </c>
      <c r="F68" s="33">
        <f t="shared" si="29"/>
        <v>4.623225258</v>
      </c>
      <c r="H68" s="41">
        <v>44986.0</v>
      </c>
      <c r="I68" s="33">
        <v>2464.83</v>
      </c>
      <c r="J68" s="12">
        <f t="shared" si="30"/>
        <v>0.3240223464</v>
      </c>
      <c r="K68" s="33"/>
      <c r="L68" s="33">
        <v>870.63</v>
      </c>
      <c r="M68" s="12">
        <f t="shared" si="31"/>
        <v>0.2324868199</v>
      </c>
      <c r="O68" s="33">
        <v>1595.09</v>
      </c>
      <c r="P68" s="12">
        <f t="shared" si="26"/>
        <v>0.5458187312</v>
      </c>
      <c r="Q68" s="33">
        <f t="shared" si="32"/>
        <v>769.425</v>
      </c>
      <c r="R68" s="33">
        <f t="shared" si="27"/>
        <v>2.073093544</v>
      </c>
      <c r="S68" s="33">
        <f t="shared" si="28"/>
        <v>176.0653788</v>
      </c>
    </row>
    <row r="69">
      <c r="A69" s="32" t="s">
        <v>893</v>
      </c>
      <c r="B69" s="33">
        <f t="shared" ref="B69:F69" si="33">(B67/B65)*365</f>
        <v>117.7579042</v>
      </c>
      <c r="C69" s="33">
        <f t="shared" si="33"/>
        <v>99.35101417</v>
      </c>
      <c r="D69" s="33">
        <f t="shared" si="33"/>
        <v>86.71105417</v>
      </c>
      <c r="E69" s="33">
        <f t="shared" si="33"/>
        <v>81.38841013</v>
      </c>
      <c r="F69" s="33">
        <f t="shared" si="33"/>
        <v>78.94921395</v>
      </c>
      <c r="H69" s="41">
        <v>45352.0</v>
      </c>
      <c r="I69" s="33">
        <v>2785.6</v>
      </c>
      <c r="J69" s="12">
        <f t="shared" si="30"/>
        <v>0.1151529294</v>
      </c>
      <c r="K69" s="33"/>
      <c r="L69" s="33">
        <v>816.07</v>
      </c>
      <c r="M69" s="12">
        <f t="shared" si="31"/>
        <v>-0.06685700982</v>
      </c>
      <c r="O69" s="33">
        <v>1825.09</v>
      </c>
      <c r="P69" s="12">
        <f t="shared" si="26"/>
        <v>0.4471395931</v>
      </c>
      <c r="Q69" s="33">
        <f t="shared" si="32"/>
        <v>843.35</v>
      </c>
      <c r="R69" s="33">
        <f t="shared" si="27"/>
        <v>2.164095571</v>
      </c>
      <c r="S69" s="33">
        <f t="shared" si="28"/>
        <v>168.6616824</v>
      </c>
    </row>
    <row r="70">
      <c r="H70" s="42">
        <v>45717.0</v>
      </c>
      <c r="I70" s="33">
        <v>3253.86</v>
      </c>
      <c r="J70" s="12">
        <f t="shared" si="30"/>
        <v>0.1439090803</v>
      </c>
      <c r="K70" s="33"/>
      <c r="L70" s="33">
        <v>986.83</v>
      </c>
      <c r="M70" s="12">
        <f t="shared" si="31"/>
        <v>0.1730389226</v>
      </c>
      <c r="O70" s="33">
        <v>2129.72</v>
      </c>
      <c r="P70" s="12">
        <f t="shared" si="26"/>
        <v>0.4633613808</v>
      </c>
      <c r="Q70" s="33">
        <f t="shared" si="32"/>
        <v>901.45</v>
      </c>
      <c r="R70" s="33">
        <f t="shared" si="27"/>
        <v>2.362549226</v>
      </c>
      <c r="S70" s="33">
        <f t="shared" si="28"/>
        <v>154.4941354</v>
      </c>
    </row>
    <row r="72">
      <c r="A72" s="32" t="s">
        <v>794</v>
      </c>
      <c r="B72" s="41">
        <v>44256.0</v>
      </c>
      <c r="C72" s="41">
        <v>44621.0</v>
      </c>
      <c r="D72" s="41">
        <v>44986.0</v>
      </c>
      <c r="E72" s="41">
        <v>45352.0</v>
      </c>
      <c r="F72" s="42">
        <v>45717.0</v>
      </c>
    </row>
    <row r="73">
      <c r="A73" s="32" t="s">
        <v>795</v>
      </c>
      <c r="B73" s="33">
        <v>1075.46</v>
      </c>
      <c r="C73" s="55">
        <v>1666.17</v>
      </c>
      <c r="D73" s="33">
        <v>2464.83</v>
      </c>
      <c r="E73" s="33">
        <v>2785.6</v>
      </c>
      <c r="F73" s="33">
        <v>3253.86</v>
      </c>
    </row>
    <row r="74">
      <c r="A74" s="32" t="s">
        <v>888</v>
      </c>
      <c r="B74" s="12"/>
      <c r="C74" s="12">
        <f t="shared" ref="C74:F74" si="34">(C73-B73)/C73</f>
        <v>0.3545316504</v>
      </c>
      <c r="D74" s="12">
        <f t="shared" si="34"/>
        <v>0.3240223464</v>
      </c>
      <c r="E74" s="12">
        <f t="shared" si="34"/>
        <v>0.1151529294</v>
      </c>
      <c r="F74" s="12">
        <f t="shared" si="34"/>
        <v>0.1439090803</v>
      </c>
      <c r="H74" s="32" t="s">
        <v>794</v>
      </c>
      <c r="I74" s="32" t="s">
        <v>896</v>
      </c>
      <c r="J74" s="32" t="s">
        <v>847</v>
      </c>
      <c r="K74" s="32" t="s">
        <v>850</v>
      </c>
      <c r="L74" s="32" t="s">
        <v>856</v>
      </c>
    </row>
    <row r="75">
      <c r="A75" s="32"/>
      <c r="B75" s="55"/>
      <c r="C75" s="33"/>
      <c r="D75" s="33"/>
      <c r="E75" s="33"/>
      <c r="F75" s="33"/>
      <c r="H75" s="41">
        <v>44256.0</v>
      </c>
      <c r="I75" s="55">
        <v>37.25242134637951</v>
      </c>
      <c r="J75" s="55">
        <v>33.58298250624002</v>
      </c>
      <c r="K75" s="55">
        <v>117.75790421630536</v>
      </c>
      <c r="L75" s="55">
        <v>228.57143844325284</v>
      </c>
    </row>
    <row r="76">
      <c r="A76" s="32" t="s">
        <v>871</v>
      </c>
      <c r="B76" s="33">
        <v>428.3</v>
      </c>
      <c r="C76" s="33">
        <v>668.22</v>
      </c>
      <c r="D76" s="33">
        <v>870.63</v>
      </c>
      <c r="E76" s="33">
        <v>816.07</v>
      </c>
      <c r="F76" s="33">
        <v>986.83</v>
      </c>
      <c r="H76" s="41">
        <v>44621.0</v>
      </c>
      <c r="I76" s="55">
        <v>34.492108080351755</v>
      </c>
      <c r="J76" s="55">
        <v>40.125395293900674</v>
      </c>
      <c r="K76" s="55">
        <v>99.35101417074138</v>
      </c>
      <c r="L76" s="55">
        <v>183.4048812676999</v>
      </c>
    </row>
    <row r="77">
      <c r="A77" s="32" t="s">
        <v>889</v>
      </c>
      <c r="B77" s="12"/>
      <c r="C77" s="12">
        <f t="shared" ref="C77:F77" si="35">(C76-B76)/C76</f>
        <v>0.3590434288</v>
      </c>
      <c r="D77" s="12">
        <f t="shared" si="35"/>
        <v>0.2324868199</v>
      </c>
      <c r="E77" s="12">
        <f t="shared" si="35"/>
        <v>-0.06685700982</v>
      </c>
      <c r="F77" s="12">
        <f t="shared" si="35"/>
        <v>0.1730389226</v>
      </c>
      <c r="H77" s="41">
        <v>44986.0</v>
      </c>
      <c r="I77" s="55">
        <v>30.026166757595036</v>
      </c>
      <c r="J77" s="55">
        <v>42.59373879452396</v>
      </c>
      <c r="K77" s="55">
        <v>86.711054171575</v>
      </c>
      <c r="L77" s="55">
        <v>176.06537875605767</v>
      </c>
    </row>
    <row r="78">
      <c r="A78" s="32"/>
      <c r="H78" s="41">
        <v>45352.0</v>
      </c>
      <c r="I78" s="55">
        <v>30.24075068157859</v>
      </c>
      <c r="J78" s="55">
        <v>37.55492463256697</v>
      </c>
      <c r="K78" s="55">
        <v>81.38841012959854</v>
      </c>
      <c r="L78" s="55">
        <v>168.66168243757843</v>
      </c>
    </row>
    <row r="79">
      <c r="A79" s="7" t="s">
        <v>825</v>
      </c>
      <c r="B79" s="33">
        <v>723.56</v>
      </c>
      <c r="C79" s="33">
        <v>1091.11</v>
      </c>
      <c r="D79" s="33">
        <v>1595.09</v>
      </c>
      <c r="E79" s="33">
        <v>1825.09</v>
      </c>
      <c r="F79" s="33">
        <v>2129.72</v>
      </c>
      <c r="H79" s="42">
        <v>45717.0</v>
      </c>
      <c r="I79" s="55">
        <v>32.38896021300965</v>
      </c>
      <c r="J79" s="55">
        <v>31.13458719556234</v>
      </c>
      <c r="K79" s="55">
        <v>78.94921394849953</v>
      </c>
      <c r="L79" s="55">
        <v>154.4941353792987</v>
      </c>
    </row>
    <row r="80">
      <c r="A80" s="32" t="s">
        <v>890</v>
      </c>
      <c r="B80" s="12">
        <f t="shared" ref="B80:F80" si="36">B76/B79</f>
        <v>0.5919343247</v>
      </c>
      <c r="C80" s="12">
        <f t="shared" si="36"/>
        <v>0.6124222122</v>
      </c>
      <c r="D80" s="12">
        <f t="shared" si="36"/>
        <v>0.5458187312</v>
      </c>
      <c r="E80" s="12">
        <f t="shared" si="36"/>
        <v>0.4471395931</v>
      </c>
      <c r="F80" s="12">
        <f t="shared" si="36"/>
        <v>0.4633613808</v>
      </c>
    </row>
    <row r="81">
      <c r="A81" s="32" t="s">
        <v>891</v>
      </c>
      <c r="B81" s="33">
        <f>('Peers-Balance Sheets'!B37+'Peers-Balance Sheets'!C37)/2</f>
        <v>453.11</v>
      </c>
      <c r="C81" s="33">
        <f>('Peers-Balance Sheets'!C37+'Peers-Balance Sheets'!D37)/2</f>
        <v>548.26</v>
      </c>
      <c r="D81" s="33">
        <f>('Peers-Balance Sheets'!D37+'Peers-Balance Sheets'!E37)/2</f>
        <v>769.425</v>
      </c>
      <c r="E81" s="33">
        <f>('Peers-Balance Sheets'!E37+'Peers-Balance Sheets'!F37)/2</f>
        <v>843.35</v>
      </c>
      <c r="F81" s="33">
        <f>('Peers-Balance Sheets'!F37+'Peers-Balance Sheets'!G37)/2</f>
        <v>901.45</v>
      </c>
    </row>
    <row r="82">
      <c r="A82" s="32" t="s">
        <v>892</v>
      </c>
      <c r="B82" s="33">
        <f t="shared" ref="B82:F82" si="37">B79/B81</f>
        <v>1.596874931</v>
      </c>
      <c r="C82" s="33">
        <f t="shared" si="37"/>
        <v>1.990132419</v>
      </c>
      <c r="D82" s="33">
        <f t="shared" si="37"/>
        <v>2.073093544</v>
      </c>
      <c r="E82" s="33">
        <f t="shared" si="37"/>
        <v>2.164095571</v>
      </c>
      <c r="F82" s="33">
        <f t="shared" si="37"/>
        <v>2.362549226</v>
      </c>
    </row>
    <row r="83">
      <c r="A83" s="32" t="s">
        <v>893</v>
      </c>
      <c r="B83" s="33">
        <f t="shared" ref="B83:F83" si="38">(B81/B79)*365</f>
        <v>228.5714384</v>
      </c>
      <c r="C83" s="33">
        <f t="shared" si="38"/>
        <v>183.4048813</v>
      </c>
      <c r="D83" s="33">
        <f t="shared" si="38"/>
        <v>176.0653788</v>
      </c>
      <c r="E83" s="33">
        <f t="shared" si="38"/>
        <v>168.6616824</v>
      </c>
      <c r="F83" s="33">
        <f t="shared" si="38"/>
        <v>154.4941354</v>
      </c>
    </row>
  </sheetData>
  <mergeCells count="3">
    <mergeCell ref="B28:F28"/>
    <mergeCell ref="B42:F42"/>
    <mergeCell ref="B57:F57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</cols>
  <sheetData>
    <row r="1">
      <c r="B1" s="54" t="s">
        <v>850</v>
      </c>
    </row>
    <row r="2">
      <c r="A2" s="32" t="s">
        <v>794</v>
      </c>
      <c r="B2" s="41">
        <v>43891.0</v>
      </c>
      <c r="C2" s="41">
        <v>44256.0</v>
      </c>
      <c r="D2" s="41">
        <v>44621.0</v>
      </c>
      <c r="E2" s="41">
        <v>44986.0</v>
      </c>
      <c r="F2" s="41">
        <v>45352.0</v>
      </c>
      <c r="G2" s="42">
        <v>45717.0</v>
      </c>
      <c r="H2" s="10"/>
    </row>
    <row r="3">
      <c r="A3" s="60" t="s">
        <v>857</v>
      </c>
      <c r="B3" s="33">
        <v>4365.66</v>
      </c>
      <c r="C3" s="33">
        <v>4484.12</v>
      </c>
      <c r="D3" s="33">
        <v>4503.29</v>
      </c>
      <c r="E3" s="33">
        <v>4506.59</v>
      </c>
      <c r="F3" s="33">
        <v>4508.72</v>
      </c>
      <c r="G3" s="33">
        <v>4597.42</v>
      </c>
      <c r="H3" s="10"/>
    </row>
    <row r="4">
      <c r="A4" s="60" t="s">
        <v>858</v>
      </c>
      <c r="B4" s="33">
        <v>-93.48</v>
      </c>
      <c r="C4" s="74">
        <v>104.56</v>
      </c>
      <c r="D4" s="74">
        <v>321.88</v>
      </c>
      <c r="E4" s="74">
        <v>649.49</v>
      </c>
      <c r="F4" s="74">
        <v>1113.11</v>
      </c>
      <c r="G4" s="74">
        <v>1803.87</v>
      </c>
      <c r="H4" s="10"/>
    </row>
    <row r="5">
      <c r="A5" s="60" t="s">
        <v>859</v>
      </c>
      <c r="B5" s="33">
        <v>1854.17</v>
      </c>
      <c r="C5" s="74">
        <v>1139.6</v>
      </c>
      <c r="D5" s="74">
        <v>1789.32</v>
      </c>
      <c r="E5" s="74">
        <v>1461.63</v>
      </c>
      <c r="F5" s="74">
        <v>1483.39</v>
      </c>
      <c r="G5" s="74">
        <v>1729.34</v>
      </c>
      <c r="H5" s="10"/>
    </row>
    <row r="6">
      <c r="A6" s="60" t="s">
        <v>860</v>
      </c>
      <c r="B6" s="33">
        <v>1067.83</v>
      </c>
      <c r="C6" s="74">
        <v>1275.76</v>
      </c>
      <c r="D6" s="74">
        <v>1460.62</v>
      </c>
      <c r="E6" s="74">
        <v>1500.79</v>
      </c>
      <c r="F6" s="74">
        <v>1220.02</v>
      </c>
      <c r="G6" s="74">
        <v>1478.56</v>
      </c>
      <c r="H6" s="10"/>
    </row>
    <row r="7">
      <c r="A7" s="60" t="s">
        <v>861</v>
      </c>
      <c r="B7" s="33">
        <f t="shared" ref="B7:G7" si="1">B8-(SUM(B3:B6))</f>
        <v>227.47</v>
      </c>
      <c r="C7" s="33">
        <f t="shared" si="1"/>
        <v>901.14</v>
      </c>
      <c r="D7" s="33">
        <f t="shared" si="1"/>
        <v>142.83</v>
      </c>
      <c r="E7" s="33">
        <f t="shared" si="1"/>
        <v>170.41</v>
      </c>
      <c r="F7" s="33">
        <f t="shared" si="1"/>
        <v>180.82</v>
      </c>
      <c r="G7" s="33">
        <f t="shared" si="1"/>
        <v>383.85</v>
      </c>
      <c r="H7" s="10"/>
    </row>
    <row r="8">
      <c r="A8" s="62" t="s">
        <v>862</v>
      </c>
      <c r="B8" s="33">
        <v>7421.65</v>
      </c>
      <c r="C8" s="74">
        <v>7905.18</v>
      </c>
      <c r="D8" s="74">
        <v>8217.94</v>
      </c>
      <c r="E8" s="74">
        <v>8288.91</v>
      </c>
      <c r="F8" s="74">
        <v>8506.06</v>
      </c>
      <c r="G8" s="74">
        <v>9993.04</v>
      </c>
      <c r="H8" s="10"/>
    </row>
    <row r="9">
      <c r="A9" s="32"/>
      <c r="B9" s="33"/>
      <c r="C9" s="10"/>
      <c r="D9" s="10"/>
      <c r="E9" s="10"/>
      <c r="F9" s="10"/>
      <c r="G9" s="10"/>
      <c r="H9" s="10"/>
    </row>
    <row r="10">
      <c r="A10" s="60" t="s">
        <v>830</v>
      </c>
      <c r="B10" s="33">
        <v>344.45</v>
      </c>
      <c r="C10" s="74">
        <v>346.7</v>
      </c>
      <c r="D10" s="74">
        <v>401.75</v>
      </c>
      <c r="E10" s="74">
        <v>463.09</v>
      </c>
      <c r="F10" s="74">
        <v>591.85</v>
      </c>
      <c r="G10" s="74">
        <v>697.05</v>
      </c>
      <c r="H10" s="10"/>
    </row>
    <row r="11">
      <c r="A11" s="60" t="s">
        <v>865</v>
      </c>
      <c r="B11" s="33">
        <v>20.3</v>
      </c>
      <c r="C11" s="74">
        <v>9.22</v>
      </c>
      <c r="D11" s="74">
        <v>11.14</v>
      </c>
      <c r="E11" s="74">
        <v>68.52</v>
      </c>
      <c r="F11" s="74">
        <v>38.33</v>
      </c>
      <c r="G11" s="74">
        <v>13.63</v>
      </c>
      <c r="H11" s="10"/>
    </row>
    <row r="12">
      <c r="A12" s="60" t="s">
        <v>866</v>
      </c>
      <c r="B12" s="33">
        <v>934.39</v>
      </c>
      <c r="C12" s="74">
        <v>972.27</v>
      </c>
      <c r="D12" s="74">
        <v>1103.04</v>
      </c>
      <c r="E12" s="74">
        <v>1136.94</v>
      </c>
      <c r="F12" s="74">
        <v>1299.62</v>
      </c>
      <c r="G12" s="74">
        <v>1545.65</v>
      </c>
      <c r="H12" s="10"/>
    </row>
    <row r="13">
      <c r="A13" s="60" t="s">
        <v>868</v>
      </c>
      <c r="B13" s="74">
        <v>4300.64</v>
      </c>
      <c r="C13" s="74">
        <v>4298.58</v>
      </c>
      <c r="D13" s="74">
        <v>4297.63</v>
      </c>
      <c r="E13" s="74">
        <v>4292.55</v>
      </c>
      <c r="F13" s="74">
        <v>4291.8</v>
      </c>
      <c r="G13" s="74">
        <v>4274.03</v>
      </c>
      <c r="H13" s="10"/>
    </row>
    <row r="14">
      <c r="A14" s="60" t="s">
        <v>870</v>
      </c>
      <c r="B14" s="33">
        <v>87.33</v>
      </c>
      <c r="C14" s="74">
        <v>546.51</v>
      </c>
      <c r="D14" s="74">
        <v>416.79</v>
      </c>
      <c r="E14" s="74">
        <v>35.08</v>
      </c>
      <c r="F14" s="74" t="s">
        <v>867</v>
      </c>
      <c r="G14" s="74">
        <v>387.2</v>
      </c>
      <c r="H14" s="10"/>
    </row>
    <row r="15">
      <c r="A15" s="60" t="s">
        <v>871</v>
      </c>
      <c r="B15" s="33">
        <v>1111.92</v>
      </c>
      <c r="C15" s="74">
        <v>969.53</v>
      </c>
      <c r="D15" s="74">
        <v>1215.98</v>
      </c>
      <c r="E15" s="74">
        <v>1409.74</v>
      </c>
      <c r="F15" s="74">
        <v>1464.97</v>
      </c>
      <c r="G15" s="74">
        <v>1850.3</v>
      </c>
      <c r="H15" s="10"/>
    </row>
    <row r="16">
      <c r="A16" s="60" t="s">
        <v>872</v>
      </c>
      <c r="B16" s="33">
        <v>3.09</v>
      </c>
      <c r="C16" s="74">
        <v>3.33</v>
      </c>
      <c r="D16" s="74">
        <v>2.32</v>
      </c>
      <c r="E16" s="74">
        <v>4.15</v>
      </c>
      <c r="F16" s="74">
        <v>31.74</v>
      </c>
      <c r="G16" s="74">
        <v>66.7</v>
      </c>
      <c r="H16" s="10"/>
    </row>
    <row r="17">
      <c r="A17" s="60" t="s">
        <v>873</v>
      </c>
      <c r="B17" s="33">
        <v>115.28</v>
      </c>
      <c r="C17" s="74">
        <v>278.16</v>
      </c>
      <c r="D17" s="74">
        <v>214.47</v>
      </c>
      <c r="E17" s="74">
        <v>169.21</v>
      </c>
      <c r="F17" s="74">
        <v>118.89</v>
      </c>
      <c r="G17" s="74">
        <v>463.66</v>
      </c>
      <c r="H17" s="10"/>
    </row>
    <row r="18">
      <c r="A18" s="60" t="s">
        <v>874</v>
      </c>
      <c r="B18" s="33">
        <v>66.71</v>
      </c>
      <c r="C18" s="74">
        <v>74.46</v>
      </c>
      <c r="D18" s="74">
        <v>90.04</v>
      </c>
      <c r="E18" s="74">
        <v>102.89</v>
      </c>
      <c r="F18" s="74">
        <v>137.2</v>
      </c>
      <c r="G18" s="74">
        <v>116.03</v>
      </c>
      <c r="H18" s="10"/>
    </row>
    <row r="19">
      <c r="A19" s="60" t="s">
        <v>875</v>
      </c>
      <c r="B19" s="33">
        <f t="shared" ref="B19:G19" si="2">B20-(SUM(B10:B18))</f>
        <v>437.54</v>
      </c>
      <c r="C19" s="33">
        <f t="shared" si="2"/>
        <v>406.42</v>
      </c>
      <c r="D19" s="33">
        <f t="shared" si="2"/>
        <v>464.78</v>
      </c>
      <c r="E19" s="33">
        <f t="shared" si="2"/>
        <v>606.74</v>
      </c>
      <c r="F19" s="33">
        <f t="shared" si="2"/>
        <v>531.66</v>
      </c>
      <c r="G19" s="33">
        <f t="shared" si="2"/>
        <v>578.79</v>
      </c>
      <c r="H19" s="10"/>
    </row>
    <row r="20">
      <c r="A20" s="62" t="s">
        <v>876</v>
      </c>
      <c r="B20" s="33">
        <v>7421.65</v>
      </c>
      <c r="C20" s="74">
        <v>7905.18</v>
      </c>
      <c r="D20" s="74">
        <v>8217.94</v>
      </c>
      <c r="E20" s="74">
        <v>8288.91</v>
      </c>
      <c r="F20" s="74">
        <v>8506.06</v>
      </c>
      <c r="G20" s="74">
        <v>9993.04</v>
      </c>
    </row>
    <row r="23">
      <c r="B23" s="54" t="s">
        <v>856</v>
      </c>
    </row>
    <row r="24">
      <c r="A24" s="32" t="s">
        <v>794</v>
      </c>
      <c r="B24" s="41">
        <v>43891.0</v>
      </c>
      <c r="C24" s="41">
        <v>44256.0</v>
      </c>
      <c r="D24" s="41">
        <v>44621.0</v>
      </c>
      <c r="E24" s="41">
        <v>44986.0</v>
      </c>
      <c r="F24" s="41">
        <v>45352.0</v>
      </c>
      <c r="G24" s="42">
        <v>45717.0</v>
      </c>
    </row>
    <row r="25">
      <c r="A25" s="60" t="s">
        <v>857</v>
      </c>
      <c r="B25" s="33">
        <v>18.15</v>
      </c>
      <c r="C25" s="33">
        <v>19.7</v>
      </c>
      <c r="D25" s="33">
        <v>19.74</v>
      </c>
      <c r="E25" s="33">
        <v>19.77</v>
      </c>
      <c r="F25" s="33">
        <v>19.78</v>
      </c>
      <c r="G25" s="33">
        <v>19.8</v>
      </c>
    </row>
    <row r="26">
      <c r="A26" s="60" t="s">
        <v>858</v>
      </c>
      <c r="B26" s="33">
        <v>440.77</v>
      </c>
      <c r="C26" s="33">
        <v>805.52</v>
      </c>
      <c r="D26" s="33">
        <v>829.86</v>
      </c>
      <c r="E26" s="33">
        <v>829.23</v>
      </c>
      <c r="F26" s="33">
        <v>727.21</v>
      </c>
      <c r="G26" s="33">
        <v>790.38</v>
      </c>
    </row>
    <row r="27">
      <c r="A27" s="60" t="s">
        <v>859</v>
      </c>
      <c r="B27" s="33">
        <f>437.83+6.12+1.04+77.82</f>
        <v>522.81</v>
      </c>
      <c r="C27" s="33">
        <f>530.78+37.01</f>
        <v>567.79</v>
      </c>
      <c r="D27" s="33">
        <f>842.93+59.26</f>
        <v>902.19</v>
      </c>
      <c r="E27" s="33">
        <f>1107.73+76.1</f>
        <v>1183.83</v>
      </c>
      <c r="F27" s="33">
        <f>1193.54+110+87.71</f>
        <v>1391.25</v>
      </c>
      <c r="G27" s="33">
        <f>440.97+148.96</f>
        <v>589.93</v>
      </c>
    </row>
    <row r="28">
      <c r="A28" s="60" t="s">
        <v>860</v>
      </c>
      <c r="B28" s="33">
        <f>50.43+146.35</f>
        <v>196.78</v>
      </c>
      <c r="C28" s="33">
        <f>55.88+135.79</f>
        <v>191.67</v>
      </c>
      <c r="D28" s="33">
        <f>61.34+229.23</f>
        <v>290.57</v>
      </c>
      <c r="E28" s="33">
        <f>149.79+338.54</f>
        <v>488.33</v>
      </c>
      <c r="F28" s="33">
        <f>196.74+436.92</f>
        <v>633.66</v>
      </c>
      <c r="G28" s="33">
        <f>192.12+569.86</f>
        <v>761.98</v>
      </c>
    </row>
    <row r="29">
      <c r="A29" s="60" t="s">
        <v>861</v>
      </c>
      <c r="B29" s="33">
        <f t="shared" ref="B29:G29" si="3">B30-(SUM(B25:B28))</f>
        <v>45.13</v>
      </c>
      <c r="C29" s="33">
        <f t="shared" si="3"/>
        <v>41.86</v>
      </c>
      <c r="D29" s="33">
        <f t="shared" si="3"/>
        <v>57.12</v>
      </c>
      <c r="E29" s="33">
        <f t="shared" si="3"/>
        <v>221.37</v>
      </c>
      <c r="F29" s="33">
        <f t="shared" si="3"/>
        <v>73.43</v>
      </c>
      <c r="G29" s="33">
        <f t="shared" si="3"/>
        <v>274.15</v>
      </c>
    </row>
    <row r="30">
      <c r="A30" s="62" t="s">
        <v>862</v>
      </c>
      <c r="B30" s="33">
        <v>1223.64</v>
      </c>
      <c r="C30" s="33">
        <v>1626.54</v>
      </c>
      <c r="D30" s="33">
        <v>2099.48</v>
      </c>
      <c r="E30" s="33">
        <v>2742.53</v>
      </c>
      <c r="F30" s="33">
        <v>2845.33</v>
      </c>
      <c r="G30" s="33">
        <v>2436.24</v>
      </c>
    </row>
    <row r="31">
      <c r="A31" s="32"/>
      <c r="B31" s="33"/>
      <c r="C31" s="33"/>
      <c r="D31" s="33"/>
      <c r="E31" s="33"/>
      <c r="F31" s="33"/>
      <c r="G31" s="33"/>
    </row>
    <row r="32">
      <c r="A32" s="60" t="s">
        <v>830</v>
      </c>
      <c r="B32" s="33">
        <v>171.27</v>
      </c>
      <c r="C32" s="33">
        <v>175.78</v>
      </c>
      <c r="D32" s="33">
        <v>279.49</v>
      </c>
      <c r="E32" s="33">
        <v>319.11</v>
      </c>
      <c r="F32" s="33">
        <v>489.8</v>
      </c>
      <c r="G32" s="33">
        <v>527.41</v>
      </c>
    </row>
    <row r="33">
      <c r="A33" s="60" t="s">
        <v>865</v>
      </c>
      <c r="B33" s="33">
        <v>2.46</v>
      </c>
      <c r="C33" s="33">
        <v>2.19</v>
      </c>
      <c r="D33" s="33">
        <v>6.37</v>
      </c>
      <c r="E33" s="33">
        <v>109.24</v>
      </c>
      <c r="F33" s="33">
        <v>3.84</v>
      </c>
      <c r="G33" s="33">
        <v>4.31</v>
      </c>
    </row>
    <row r="34">
      <c r="A34" s="60" t="s">
        <v>866</v>
      </c>
      <c r="B34" s="33">
        <v>492.11</v>
      </c>
      <c r="C34" s="33">
        <v>517.99</v>
      </c>
      <c r="D34" s="33">
        <v>828.27</v>
      </c>
      <c r="E34" s="33">
        <v>1064.26</v>
      </c>
      <c r="F34" s="33">
        <v>1119.65</v>
      </c>
      <c r="G34" s="33">
        <v>469.88</v>
      </c>
    </row>
    <row r="35">
      <c r="A35" s="60" t="s">
        <v>868</v>
      </c>
      <c r="B35" s="33">
        <v>3.65</v>
      </c>
      <c r="C35" s="33">
        <v>2.75</v>
      </c>
      <c r="D35" s="33">
        <v>3.2</v>
      </c>
      <c r="E35" s="33">
        <f>1.5+60.59</f>
        <v>62.09</v>
      </c>
      <c r="F35" s="33">
        <f>1.5+49.79</f>
        <v>51.29</v>
      </c>
      <c r="G35" s="33">
        <f>1.5+39.73</f>
        <v>41.23</v>
      </c>
    </row>
    <row r="36">
      <c r="A36" s="60" t="s">
        <v>870</v>
      </c>
      <c r="B36" s="33">
        <f>3.31+4.57</f>
        <v>7.88</v>
      </c>
      <c r="C36" s="33">
        <f>3.61+315.36</f>
        <v>318.97</v>
      </c>
      <c r="D36" s="33">
        <f>3.78+121.06</f>
        <v>124.84</v>
      </c>
      <c r="E36" s="33">
        <v>8.54</v>
      </c>
      <c r="F36" s="33">
        <v>4.7</v>
      </c>
      <c r="G36" s="33">
        <v>5.05</v>
      </c>
    </row>
    <row r="37">
      <c r="A37" s="60" t="s">
        <v>871</v>
      </c>
      <c r="B37" s="33">
        <v>477.92</v>
      </c>
      <c r="C37" s="33">
        <v>428.3</v>
      </c>
      <c r="D37" s="33">
        <v>668.22</v>
      </c>
      <c r="E37" s="33">
        <v>870.63</v>
      </c>
      <c r="F37" s="33">
        <v>816.07</v>
      </c>
      <c r="G37" s="33">
        <v>986.83</v>
      </c>
    </row>
    <row r="38">
      <c r="A38" s="60" t="s">
        <v>872</v>
      </c>
      <c r="B38" s="33" t="s">
        <v>867</v>
      </c>
      <c r="C38" s="33" t="s">
        <v>867</v>
      </c>
      <c r="D38" s="33" t="s">
        <v>867</v>
      </c>
      <c r="E38" s="33" t="s">
        <v>867</v>
      </c>
      <c r="F38" s="33" t="s">
        <v>867</v>
      </c>
      <c r="G38" s="33" t="s">
        <v>867</v>
      </c>
    </row>
    <row r="39">
      <c r="A39" s="60" t="s">
        <v>873</v>
      </c>
      <c r="B39" s="33">
        <f>4.89+0.09</f>
        <v>4.98</v>
      </c>
      <c r="C39" s="33">
        <f>23.79+3.67</f>
        <v>27.46</v>
      </c>
      <c r="D39" s="33">
        <f>33.03+2.02</f>
        <v>35.05</v>
      </c>
      <c r="E39" s="33">
        <v>18.06</v>
      </c>
      <c r="F39" s="33">
        <v>27.23</v>
      </c>
      <c r="G39" s="33">
        <v>39.42</v>
      </c>
    </row>
    <row r="40">
      <c r="A40" s="60" t="s">
        <v>874</v>
      </c>
      <c r="B40" s="33">
        <f>70.49+1.43</f>
        <v>71.92</v>
      </c>
      <c r="C40" s="33">
        <f>70.96+14.26</f>
        <v>85.22</v>
      </c>
      <c r="D40" s="33">
        <f>36.98+0.18</f>
        <v>37.16</v>
      </c>
      <c r="E40" s="33">
        <f>26.95+32.12</f>
        <v>59.07</v>
      </c>
      <c r="F40" s="33">
        <f>26.14+47.44</f>
        <v>73.58</v>
      </c>
      <c r="G40" s="33">
        <f>39.97+46.18</f>
        <v>86.15</v>
      </c>
    </row>
    <row r="41">
      <c r="A41" s="60" t="s">
        <v>875</v>
      </c>
      <c r="B41" s="33">
        <f t="shared" ref="B41:G41" si="4">B42-SUM(B32:B40)</f>
        <v>-8.55</v>
      </c>
      <c r="C41" s="33">
        <f t="shared" si="4"/>
        <v>67.88</v>
      </c>
      <c r="D41" s="33">
        <f t="shared" si="4"/>
        <v>116.88</v>
      </c>
      <c r="E41" s="33">
        <f t="shared" si="4"/>
        <v>231.53</v>
      </c>
      <c r="F41" s="33">
        <f t="shared" si="4"/>
        <v>259.17</v>
      </c>
      <c r="G41" s="33">
        <f t="shared" si="4"/>
        <v>275.96</v>
      </c>
    </row>
    <row r="42">
      <c r="A42" s="62" t="s">
        <v>876</v>
      </c>
      <c r="B42" s="33">
        <v>1223.64</v>
      </c>
      <c r="C42" s="33">
        <v>1626.54</v>
      </c>
      <c r="D42" s="33">
        <v>2099.48</v>
      </c>
      <c r="E42" s="33">
        <v>2742.53</v>
      </c>
      <c r="F42" s="33">
        <v>2845.33</v>
      </c>
      <c r="G42" s="33">
        <v>2436.24</v>
      </c>
    </row>
    <row r="45">
      <c r="B45" s="54" t="s">
        <v>847</v>
      </c>
    </row>
    <row r="46">
      <c r="A46" s="32" t="s">
        <v>794</v>
      </c>
      <c r="B46" s="41">
        <v>43891.0</v>
      </c>
      <c r="C46" s="41">
        <v>44256.0</v>
      </c>
      <c r="D46" s="41">
        <v>44621.0</v>
      </c>
      <c r="E46" s="41">
        <v>44986.0</v>
      </c>
      <c r="F46" s="41">
        <v>45352.0</v>
      </c>
      <c r="G46" s="42">
        <v>45717.0</v>
      </c>
    </row>
    <row r="47">
      <c r="A47" s="60" t="s">
        <v>857</v>
      </c>
      <c r="B47" s="33">
        <v>4990.4</v>
      </c>
      <c r="C47" s="33">
        <v>4990.42</v>
      </c>
      <c r="D47" s="33">
        <v>4990.42</v>
      </c>
      <c r="E47" s="33">
        <v>4990.0</v>
      </c>
      <c r="F47" s="33">
        <v>8987.0</v>
      </c>
      <c r="G47" s="33">
        <v>8987.0</v>
      </c>
    </row>
    <row r="48">
      <c r="A48" s="60" t="s">
        <v>858</v>
      </c>
      <c r="B48" s="33">
        <v>13124.78</v>
      </c>
      <c r="C48" s="33">
        <v>20474.15</v>
      </c>
      <c r="D48" s="33">
        <v>25421.62</v>
      </c>
      <c r="E48" s="33">
        <v>32232.0</v>
      </c>
      <c r="F48" s="33">
        <v>36089.0</v>
      </c>
      <c r="G48" s="33">
        <v>86065.0</v>
      </c>
    </row>
    <row r="49">
      <c r="A49" s="60" t="s">
        <v>859</v>
      </c>
      <c r="B49" s="33">
        <v>4665.74</v>
      </c>
      <c r="C49" s="33">
        <f>93.02+10.4+14745.88+1.77</f>
        <v>14851.07</v>
      </c>
      <c r="D49" s="33">
        <f>12135.91+8.55+28735.44+1.5</f>
        <v>40881.4</v>
      </c>
      <c r="E49" s="33">
        <v>44569.0</v>
      </c>
      <c r="F49" s="33">
        <f>53546+27514</f>
        <v>81060</v>
      </c>
      <c r="G49" s="33">
        <f>112+35748</f>
        <v>35860</v>
      </c>
    </row>
    <row r="50">
      <c r="A50" s="60" t="s">
        <v>860</v>
      </c>
      <c r="B50" s="33">
        <f>33.97+5642.87</f>
        <v>5676.84</v>
      </c>
      <c r="C50" s="33">
        <v>6705.53</v>
      </c>
      <c r="D50" s="33">
        <v>12990.01</v>
      </c>
      <c r="E50" s="33">
        <f>971+14518</f>
        <v>15489</v>
      </c>
      <c r="F50" s="33">
        <f>667+23079</f>
        <v>23746</v>
      </c>
      <c r="G50" s="33">
        <f>284+19223</f>
        <v>19507</v>
      </c>
    </row>
    <row r="51">
      <c r="A51" s="60" t="s">
        <v>861</v>
      </c>
      <c r="B51" s="33">
        <f t="shared" ref="B51:G51" si="5">B52-SUM(B47:B50)</f>
        <v>7108.15</v>
      </c>
      <c r="C51" s="33">
        <f t="shared" si="5"/>
        <v>3659.34</v>
      </c>
      <c r="D51" s="33">
        <f t="shared" si="5"/>
        <v>4447.4</v>
      </c>
      <c r="E51" s="33">
        <f t="shared" si="5"/>
        <v>31180</v>
      </c>
      <c r="F51" s="33">
        <f t="shared" si="5"/>
        <v>6439</v>
      </c>
      <c r="G51" s="33">
        <f t="shared" si="5"/>
        <v>29112</v>
      </c>
    </row>
    <row r="52">
      <c r="A52" s="62" t="s">
        <v>862</v>
      </c>
      <c r="B52" s="33">
        <v>35565.91</v>
      </c>
      <c r="C52" s="33">
        <v>50680.51</v>
      </c>
      <c r="D52" s="33">
        <v>88730.85</v>
      </c>
      <c r="E52" s="33">
        <v>128460.0</v>
      </c>
      <c r="F52" s="33">
        <v>156321.0</v>
      </c>
      <c r="G52" s="33">
        <v>179531.0</v>
      </c>
    </row>
    <row r="53">
      <c r="A53" s="32"/>
      <c r="B53" s="33"/>
      <c r="C53" s="33"/>
      <c r="D53" s="33"/>
      <c r="E53" s="33"/>
      <c r="F53" s="33"/>
      <c r="G53" s="33"/>
    </row>
    <row r="54">
      <c r="A54" s="60" t="s">
        <v>830</v>
      </c>
      <c r="B54" s="33">
        <v>7185.34</v>
      </c>
      <c r="C54" s="33">
        <v>8338.99</v>
      </c>
      <c r="D54" s="33">
        <v>14104.86</v>
      </c>
      <c r="E54" s="33">
        <v>39312.0</v>
      </c>
      <c r="F54" s="33">
        <v>57436.0</v>
      </c>
      <c r="G54" s="33">
        <v>58986.0</v>
      </c>
    </row>
    <row r="55">
      <c r="A55" s="60" t="s">
        <v>865</v>
      </c>
      <c r="B55" s="33">
        <v>6068.34</v>
      </c>
      <c r="C55" s="33">
        <v>7000.17</v>
      </c>
      <c r="D55" s="33">
        <v>11888.04</v>
      </c>
      <c r="E55" s="33">
        <v>24442.0</v>
      </c>
      <c r="F55" s="33">
        <v>16992.0</v>
      </c>
      <c r="G55" s="33">
        <v>17710.0</v>
      </c>
    </row>
    <row r="56">
      <c r="A56" s="60" t="s">
        <v>866</v>
      </c>
      <c r="B56" s="33" t="s">
        <v>867</v>
      </c>
      <c r="C56" s="33" t="s">
        <v>867</v>
      </c>
      <c r="D56" s="33" t="s">
        <v>867</v>
      </c>
      <c r="E56" s="33" t="s">
        <v>867</v>
      </c>
      <c r="F56" s="33" t="s">
        <v>867</v>
      </c>
      <c r="G56" s="33" t="s">
        <v>867</v>
      </c>
    </row>
    <row r="57">
      <c r="A57" s="60" t="s">
        <v>868</v>
      </c>
      <c r="B57" s="33">
        <v>981.8</v>
      </c>
      <c r="C57" s="33">
        <f>3165.6+90.3</f>
        <v>3255.9</v>
      </c>
      <c r="D57" s="33">
        <f>2775.99+90.03</f>
        <v>2866.02</v>
      </c>
      <c r="E57" s="33">
        <f>3+24442</f>
        <v>24445</v>
      </c>
      <c r="F57" s="33">
        <v>19621.0</v>
      </c>
      <c r="G57" s="33">
        <v>19316.0</v>
      </c>
    </row>
    <row r="58">
      <c r="A58" s="60" t="s">
        <v>870</v>
      </c>
      <c r="B58" s="33">
        <v>578.24</v>
      </c>
      <c r="C58" s="33">
        <f>342.95+450.34</f>
        <v>793.29</v>
      </c>
      <c r="D58" s="33">
        <f>481.89+482.58</f>
        <v>964.47</v>
      </c>
      <c r="E58" s="33">
        <v>263.0</v>
      </c>
      <c r="F58" s="33">
        <v>267.0</v>
      </c>
      <c r="G58" s="33">
        <v>625.0</v>
      </c>
    </row>
    <row r="59">
      <c r="A59" s="60" t="s">
        <v>871</v>
      </c>
      <c r="B59" s="33">
        <v>9348.16</v>
      </c>
      <c r="C59" s="33">
        <v>12354.79</v>
      </c>
      <c r="D59" s="33">
        <v>20072.07</v>
      </c>
      <c r="E59" s="33">
        <v>24969.0</v>
      </c>
      <c r="F59" s="33">
        <v>20983.0</v>
      </c>
      <c r="G59" s="33">
        <v>18937.0</v>
      </c>
    </row>
    <row r="60">
      <c r="A60" s="60" t="s">
        <v>872</v>
      </c>
      <c r="B60" s="33">
        <v>2489.1</v>
      </c>
      <c r="C60" s="33">
        <v>6020.89</v>
      </c>
      <c r="D60" s="33">
        <v>8833.93</v>
      </c>
      <c r="E60" s="33">
        <v>5520.0</v>
      </c>
      <c r="F60" s="33">
        <v>6263.0</v>
      </c>
      <c r="G60" s="33">
        <v>4588.0</v>
      </c>
    </row>
    <row r="61">
      <c r="A61" s="60" t="s">
        <v>873</v>
      </c>
      <c r="B61" s="33">
        <v>334.5</v>
      </c>
      <c r="C61" s="33">
        <v>359.55</v>
      </c>
      <c r="D61" s="33">
        <v>466.42</v>
      </c>
      <c r="E61" s="33">
        <v>401.0</v>
      </c>
      <c r="F61" s="33">
        <v>9390.0</v>
      </c>
      <c r="G61" s="33">
        <v>15433.0</v>
      </c>
    </row>
    <row r="62">
      <c r="A62" s="60" t="s">
        <v>874</v>
      </c>
      <c r="B62" s="33">
        <v>1508.67</v>
      </c>
      <c r="C62" s="33">
        <f>6279.83+1.43</f>
        <v>6281.26</v>
      </c>
      <c r="D62" s="33">
        <f>8452.92+1.48</f>
        <v>8454.4</v>
      </c>
      <c r="E62" s="33">
        <v>3196.0</v>
      </c>
      <c r="F62" s="33">
        <v>2806.0</v>
      </c>
      <c r="G62" s="33">
        <v>4669.0</v>
      </c>
    </row>
    <row r="63">
      <c r="A63" s="60" t="s">
        <v>875</v>
      </c>
      <c r="B63" s="33">
        <f t="shared" ref="B63:G63" si="6">B64-SUM(B54:B62)</f>
        <v>7071.76</v>
      </c>
      <c r="C63" s="33">
        <f t="shared" si="6"/>
        <v>6275.67</v>
      </c>
      <c r="D63" s="33">
        <f t="shared" si="6"/>
        <v>21080.64</v>
      </c>
      <c r="E63" s="33">
        <f t="shared" si="6"/>
        <v>5912</v>
      </c>
      <c r="F63" s="33">
        <f t="shared" si="6"/>
        <v>22563</v>
      </c>
      <c r="G63" s="33">
        <f t="shared" si="6"/>
        <v>39267</v>
      </c>
    </row>
    <row r="64">
      <c r="A64" s="62" t="s">
        <v>876</v>
      </c>
      <c r="B64" s="33">
        <v>35565.91</v>
      </c>
      <c r="C64" s="33">
        <v>50680.51</v>
      </c>
      <c r="D64" s="33">
        <v>88730.85</v>
      </c>
      <c r="E64" s="33">
        <v>128460.0</v>
      </c>
      <c r="F64" s="33">
        <v>156321.0</v>
      </c>
      <c r="G64" s="33">
        <v>179531.0</v>
      </c>
    </row>
  </sheetData>
  <mergeCells count="3">
    <mergeCell ref="B1:G1"/>
    <mergeCell ref="B23:G23"/>
    <mergeCell ref="B45:G45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10" max="10" width="16.88"/>
    <col customWidth="1" min="12" max="12" width="16.88"/>
  </cols>
  <sheetData>
    <row r="1">
      <c r="A1" s="32" t="s">
        <v>794</v>
      </c>
      <c r="B1" s="40">
        <v>43525.0</v>
      </c>
      <c r="C1" s="41">
        <v>43891.0</v>
      </c>
      <c r="D1" s="41">
        <v>44256.0</v>
      </c>
      <c r="E1" s="41">
        <v>44621.0</v>
      </c>
      <c r="F1" s="41">
        <v>44986.0</v>
      </c>
      <c r="G1" s="41">
        <v>45352.0</v>
      </c>
      <c r="H1" s="42">
        <v>45717.0</v>
      </c>
    </row>
    <row r="2">
      <c r="A2" s="32" t="s">
        <v>795</v>
      </c>
      <c r="B2" s="33">
        <v>20005.0</v>
      </c>
      <c r="C2" s="33">
        <v>24870.0</v>
      </c>
      <c r="D2" s="33">
        <v>24143.0</v>
      </c>
      <c r="E2" s="33">
        <v>30976.0</v>
      </c>
      <c r="F2" s="33">
        <v>42840.0</v>
      </c>
      <c r="G2" s="33">
        <v>50789.0</v>
      </c>
      <c r="H2" s="33">
        <v>59358.0</v>
      </c>
    </row>
    <row r="3">
      <c r="A3" s="34" t="s">
        <v>796</v>
      </c>
      <c r="B3" s="36"/>
      <c r="C3" s="36">
        <f t="shared" ref="C3:H3" si="1">((C2-B2)/C2)</f>
        <v>0.1956172095</v>
      </c>
      <c r="D3" s="36">
        <f t="shared" si="1"/>
        <v>-0.03011224786</v>
      </c>
      <c r="E3" s="36">
        <f t="shared" si="1"/>
        <v>0.2205901343</v>
      </c>
      <c r="F3" s="36">
        <f t="shared" si="1"/>
        <v>0.2769374416</v>
      </c>
      <c r="G3" s="36">
        <f t="shared" si="1"/>
        <v>0.156510268</v>
      </c>
      <c r="H3" s="36">
        <f t="shared" si="1"/>
        <v>0.1443613329</v>
      </c>
    </row>
    <row r="4">
      <c r="A4" s="34"/>
    </row>
    <row r="5">
      <c r="A5" s="60" t="s">
        <v>860</v>
      </c>
      <c r="B5" s="33">
        <v>463.27</v>
      </c>
      <c r="C5" s="33">
        <v>433.45</v>
      </c>
      <c r="D5" s="33">
        <v>578.13</v>
      </c>
      <c r="E5" s="33">
        <v>589.2</v>
      </c>
      <c r="F5" s="33">
        <v>753.79</v>
      </c>
      <c r="G5" s="33">
        <v>984.81</v>
      </c>
      <c r="H5" s="33">
        <v>1070.81</v>
      </c>
    </row>
    <row r="6">
      <c r="A6" s="34" t="s">
        <v>897</v>
      </c>
      <c r="B6" s="12"/>
      <c r="C6" s="12">
        <f t="shared" ref="C6:H6" si="2">(C5-B5)/C5</f>
        <v>-0.06879686238</v>
      </c>
      <c r="D6" s="12">
        <f t="shared" si="2"/>
        <v>0.2502551329</v>
      </c>
      <c r="E6" s="12">
        <f t="shared" si="2"/>
        <v>0.01878818737</v>
      </c>
      <c r="F6" s="12">
        <f t="shared" si="2"/>
        <v>0.2183499383</v>
      </c>
      <c r="G6" s="12">
        <f t="shared" si="2"/>
        <v>0.2345833206</v>
      </c>
      <c r="H6" s="12">
        <f t="shared" si="2"/>
        <v>0.08031303406</v>
      </c>
    </row>
    <row r="7">
      <c r="A7" s="60"/>
    </row>
    <row r="8">
      <c r="A8" s="7" t="s">
        <v>825</v>
      </c>
      <c r="B8" s="33">
        <v>17000.84</v>
      </c>
      <c r="C8" s="33">
        <v>21102.93</v>
      </c>
      <c r="D8" s="33">
        <v>20554.68</v>
      </c>
      <c r="E8" s="33">
        <v>26407.39</v>
      </c>
      <c r="F8" s="33">
        <v>36383.95</v>
      </c>
      <c r="G8" s="33">
        <v>43274.54</v>
      </c>
      <c r="H8" s="33">
        <v>50551.7</v>
      </c>
    </row>
    <row r="9">
      <c r="A9" s="60" t="s">
        <v>898</v>
      </c>
      <c r="B9" s="12">
        <f t="shared" ref="B9:H9" si="3">B5/B2</f>
        <v>0.02315771057</v>
      </c>
      <c r="C9" s="12">
        <f t="shared" si="3"/>
        <v>0.01742862887</v>
      </c>
      <c r="D9" s="12">
        <f t="shared" si="3"/>
        <v>0.02394607133</v>
      </c>
      <c r="E9" s="12">
        <f t="shared" si="3"/>
        <v>0.01902117769</v>
      </c>
      <c r="F9" s="12">
        <f t="shared" si="3"/>
        <v>0.01759547152</v>
      </c>
      <c r="G9" s="12">
        <f t="shared" si="3"/>
        <v>0.01939022229</v>
      </c>
      <c r="H9" s="12">
        <f t="shared" si="3"/>
        <v>0.01803985983</v>
      </c>
    </row>
    <row r="10">
      <c r="A10" s="60" t="s">
        <v>899</v>
      </c>
      <c r="B10" s="12">
        <f t="shared" ref="B10:H10" si="4">B5/B8</f>
        <v>0.02724983001</v>
      </c>
      <c r="C10" s="12">
        <f t="shared" si="4"/>
        <v>0.02053980182</v>
      </c>
      <c r="D10" s="12">
        <f t="shared" si="4"/>
        <v>0.02812644128</v>
      </c>
      <c r="E10" s="12">
        <f t="shared" si="4"/>
        <v>0.02231193617</v>
      </c>
      <c r="F10" s="12">
        <f t="shared" si="4"/>
        <v>0.0207176516</v>
      </c>
      <c r="G10" s="12">
        <f t="shared" si="4"/>
        <v>0.02275726097</v>
      </c>
      <c r="H10" s="12">
        <f t="shared" si="4"/>
        <v>0.0211824726</v>
      </c>
    </row>
    <row r="11">
      <c r="A11" s="60"/>
    </row>
    <row r="12">
      <c r="A12" s="60" t="s">
        <v>900</v>
      </c>
      <c r="B12" s="33"/>
      <c r="C12" s="33">
        <f t="shared" ref="C12:H12" si="5">(C5+B5)/2</f>
        <v>448.36</v>
      </c>
      <c r="D12" s="33">
        <f t="shared" si="5"/>
        <v>505.79</v>
      </c>
      <c r="E12" s="33">
        <f t="shared" si="5"/>
        <v>583.665</v>
      </c>
      <c r="F12" s="33">
        <f t="shared" si="5"/>
        <v>671.495</v>
      </c>
      <c r="G12" s="33">
        <f t="shared" si="5"/>
        <v>869.3</v>
      </c>
      <c r="H12" s="33">
        <f t="shared" si="5"/>
        <v>1027.81</v>
      </c>
    </row>
    <row r="13">
      <c r="A13" s="60" t="s">
        <v>901</v>
      </c>
      <c r="C13" s="75">
        <f t="shared" ref="C13:H13" si="6">M12/C12</f>
        <v>0</v>
      </c>
      <c r="D13" s="75">
        <f t="shared" si="6"/>
        <v>0</v>
      </c>
      <c r="E13" s="75">
        <f t="shared" si="6"/>
        <v>0</v>
      </c>
      <c r="F13" s="75">
        <f t="shared" si="6"/>
        <v>0</v>
      </c>
      <c r="G13" s="75">
        <f t="shared" si="6"/>
        <v>0</v>
      </c>
      <c r="H13" s="75">
        <f t="shared" si="6"/>
        <v>0</v>
      </c>
    </row>
    <row r="14">
      <c r="A14" s="60" t="s">
        <v>902</v>
      </c>
      <c r="B14" s="33"/>
      <c r="C14" s="33">
        <f t="shared" ref="C14:H14" si="7">(C12/C8)*365</f>
        <v>7.754913654</v>
      </c>
      <c r="D14" s="33">
        <f t="shared" si="7"/>
        <v>8.981572566</v>
      </c>
      <c r="E14" s="33">
        <f t="shared" si="7"/>
        <v>8.067352548</v>
      </c>
      <c r="F14" s="33">
        <f t="shared" si="7"/>
        <v>6.736367959</v>
      </c>
      <c r="G14" s="33">
        <f t="shared" si="7"/>
        <v>7.332128776</v>
      </c>
      <c r="H14" s="33">
        <f t="shared" si="7"/>
        <v>7.421128271</v>
      </c>
    </row>
    <row r="15">
      <c r="A15" s="33"/>
      <c r="B15" s="33"/>
      <c r="C15" s="33"/>
      <c r="D15" s="33"/>
      <c r="E15" s="33"/>
      <c r="F15" s="33"/>
      <c r="G15" s="33"/>
      <c r="H15" s="33"/>
    </row>
    <row r="16">
      <c r="A16" s="33"/>
      <c r="B16" s="33"/>
      <c r="C16" s="33"/>
      <c r="D16" s="33"/>
      <c r="E16" s="33"/>
      <c r="F16" s="33"/>
      <c r="G16" s="33"/>
      <c r="H16" s="33"/>
    </row>
    <row r="17">
      <c r="A17" s="33"/>
    </row>
    <row r="31">
      <c r="B31" s="54" t="s">
        <v>847</v>
      </c>
      <c r="G31" s="54"/>
      <c r="H31" s="54"/>
    </row>
    <row r="32">
      <c r="A32" s="32" t="s">
        <v>794</v>
      </c>
      <c r="B32" s="41">
        <v>44256.0</v>
      </c>
      <c r="C32" s="41">
        <v>44621.0</v>
      </c>
      <c r="D32" s="41">
        <v>44986.0</v>
      </c>
      <c r="E32" s="41">
        <v>45352.0</v>
      </c>
      <c r="F32" s="42">
        <v>45717.0</v>
      </c>
    </row>
    <row r="33">
      <c r="A33" s="32" t="s">
        <v>795</v>
      </c>
      <c r="B33" s="33">
        <v>136911.0</v>
      </c>
      <c r="C33" s="55">
        <v>170133.0</v>
      </c>
      <c r="D33" s="33">
        <v>223653.0</v>
      </c>
      <c r="E33" s="33">
        <v>258388.0</v>
      </c>
      <c r="F33" s="33">
        <v>271012.0</v>
      </c>
    </row>
    <row r="34">
      <c r="A34" s="34" t="s">
        <v>796</v>
      </c>
      <c r="B34" s="52"/>
      <c r="C34" s="52">
        <f t="shared" ref="C34:F34" si="8">(C33-B33)/C33</f>
        <v>0.1952707588</v>
      </c>
      <c r="D34" s="52">
        <f t="shared" si="8"/>
        <v>0.2392992716</v>
      </c>
      <c r="E34" s="52">
        <f t="shared" si="8"/>
        <v>0.1344296175</v>
      </c>
      <c r="F34" s="52">
        <f t="shared" si="8"/>
        <v>0.0465809632</v>
      </c>
    </row>
    <row r="35">
      <c r="A35" s="34"/>
    </row>
    <row r="36">
      <c r="A36" s="60" t="s">
        <v>860</v>
      </c>
      <c r="B36" s="33">
        <v>6705.53</v>
      </c>
      <c r="C36" s="33">
        <v>12990.01</v>
      </c>
      <c r="D36" s="33">
        <f>971+14518</f>
        <v>15489</v>
      </c>
      <c r="E36" s="33">
        <f>667+23079</f>
        <v>23746</v>
      </c>
      <c r="F36" s="33">
        <f>284+19223</f>
        <v>19507</v>
      </c>
    </row>
    <row r="37">
      <c r="A37" s="34" t="s">
        <v>897</v>
      </c>
      <c r="B37" s="12"/>
      <c r="C37" s="12">
        <f t="shared" ref="C37:F37" si="9">(C36-B36)/C36</f>
        <v>0.483793315</v>
      </c>
      <c r="D37" s="12">
        <f t="shared" si="9"/>
        <v>0.1613396604</v>
      </c>
      <c r="E37" s="12">
        <f t="shared" si="9"/>
        <v>0.3477217216</v>
      </c>
      <c r="F37" s="12">
        <f t="shared" si="9"/>
        <v>-0.2173066079</v>
      </c>
    </row>
    <row r="38">
      <c r="A38" s="60"/>
    </row>
    <row r="39">
      <c r="A39" s="7" t="s">
        <v>825</v>
      </c>
      <c r="B39" s="33">
        <v>117940.34</v>
      </c>
      <c r="C39" s="33">
        <v>147485.2</v>
      </c>
      <c r="D39" s="33">
        <v>192986.0</v>
      </c>
      <c r="E39" s="33">
        <v>223306.0</v>
      </c>
      <c r="F39" s="33">
        <v>233997.0</v>
      </c>
    </row>
    <row r="40">
      <c r="A40" s="60" t="s">
        <v>898</v>
      </c>
      <c r="B40" s="12">
        <f t="shared" ref="B40:F40" si="10">B36/B33</f>
        <v>0.04897729182</v>
      </c>
      <c r="C40" s="12">
        <f t="shared" si="10"/>
        <v>0.07635208925</v>
      </c>
      <c r="D40" s="12">
        <f t="shared" si="10"/>
        <v>0.06925460423</v>
      </c>
      <c r="E40" s="12">
        <f t="shared" si="10"/>
        <v>0.09190055266</v>
      </c>
      <c r="F40" s="12">
        <f t="shared" si="10"/>
        <v>0.07197836258</v>
      </c>
    </row>
    <row r="41">
      <c r="A41" s="60" t="s">
        <v>899</v>
      </c>
      <c r="B41" s="12">
        <f t="shared" ref="B41:F41" si="11">B36/B39</f>
        <v>0.05685527106</v>
      </c>
      <c r="C41" s="12">
        <f t="shared" si="11"/>
        <v>0.08807670193</v>
      </c>
      <c r="D41" s="12">
        <f t="shared" si="11"/>
        <v>0.08025970796</v>
      </c>
      <c r="E41" s="12">
        <f t="shared" si="11"/>
        <v>0.1063383877</v>
      </c>
      <c r="F41" s="12">
        <f t="shared" si="11"/>
        <v>0.08336431664</v>
      </c>
    </row>
    <row r="42">
      <c r="A42" s="60"/>
    </row>
    <row r="43">
      <c r="A43" s="60" t="s">
        <v>900</v>
      </c>
      <c r="B43" s="33"/>
      <c r="C43" s="33">
        <f t="shared" ref="C43:F43" si="12">(C36+B36)/2</f>
        <v>9847.77</v>
      </c>
      <c r="D43" s="33">
        <f t="shared" si="12"/>
        <v>14239.505</v>
      </c>
      <c r="E43" s="33">
        <f t="shared" si="12"/>
        <v>19617.5</v>
      </c>
      <c r="F43" s="33">
        <f t="shared" si="12"/>
        <v>21626.5</v>
      </c>
    </row>
    <row r="44">
      <c r="A44" s="60" t="s">
        <v>901</v>
      </c>
      <c r="B44" s="75"/>
      <c r="C44" s="75">
        <f t="shared" ref="C44:F44" si="13">K35/C43</f>
        <v>0</v>
      </c>
      <c r="D44" s="75">
        <f t="shared" si="13"/>
        <v>0</v>
      </c>
      <c r="E44" s="75">
        <f t="shared" si="13"/>
        <v>0</v>
      </c>
      <c r="F44" s="75">
        <f t="shared" si="13"/>
        <v>0</v>
      </c>
    </row>
    <row r="45">
      <c r="A45" s="60" t="s">
        <v>902</v>
      </c>
      <c r="B45" s="33"/>
      <c r="C45" s="33">
        <f t="shared" ref="C45:F45" si="14">(C43/C39)*365</f>
        <v>24.37150338</v>
      </c>
      <c r="D45" s="33">
        <f t="shared" si="14"/>
        <v>26.93158739</v>
      </c>
      <c r="E45" s="33">
        <f t="shared" si="14"/>
        <v>32.06536098</v>
      </c>
      <c r="F45" s="33">
        <f t="shared" si="14"/>
        <v>33.73407565</v>
      </c>
    </row>
    <row r="48">
      <c r="B48" s="54" t="s">
        <v>850</v>
      </c>
      <c r="I48" s="54"/>
    </row>
    <row r="49">
      <c r="A49" s="32" t="s">
        <v>794</v>
      </c>
      <c r="B49" s="59" t="s">
        <v>851</v>
      </c>
      <c r="C49" s="59" t="s">
        <v>852</v>
      </c>
      <c r="D49" s="59" t="s">
        <v>853</v>
      </c>
      <c r="E49" s="59" t="s">
        <v>854</v>
      </c>
      <c r="F49" s="59" t="s">
        <v>855</v>
      </c>
    </row>
    <row r="50">
      <c r="A50" s="32" t="s">
        <v>795</v>
      </c>
      <c r="B50" s="33">
        <v>4452.44</v>
      </c>
      <c r="C50" s="55">
        <v>5588.51</v>
      </c>
      <c r="D50" s="33">
        <v>7586.04</v>
      </c>
      <c r="E50" s="33">
        <v>8911.95</v>
      </c>
      <c r="F50" s="33">
        <v>10716.34</v>
      </c>
      <c r="I50" s="33"/>
    </row>
    <row r="51">
      <c r="A51" s="34" t="s">
        <v>796</v>
      </c>
      <c r="B51" s="52"/>
      <c r="C51" s="52">
        <f t="shared" ref="C51:F51" si="15">(C50-B50)/C50</f>
        <v>0.2032867437</v>
      </c>
      <c r="D51" s="52">
        <f t="shared" si="15"/>
        <v>0.2633165657</v>
      </c>
      <c r="E51" s="52">
        <f t="shared" si="15"/>
        <v>0.1487788868</v>
      </c>
      <c r="F51" s="52">
        <f t="shared" si="15"/>
        <v>0.1683774498</v>
      </c>
      <c r="I51" s="52"/>
    </row>
    <row r="52">
      <c r="A52" s="34"/>
      <c r="I52" s="33"/>
    </row>
    <row r="53">
      <c r="A53" s="60" t="s">
        <v>860</v>
      </c>
      <c r="B53" s="74">
        <v>1275.76</v>
      </c>
      <c r="C53" s="74">
        <v>1460.62</v>
      </c>
      <c r="D53" s="74">
        <v>1500.79</v>
      </c>
      <c r="E53" s="74">
        <v>1220.02</v>
      </c>
      <c r="F53" s="74">
        <v>1478.56</v>
      </c>
    </row>
    <row r="54">
      <c r="A54" s="34" t="s">
        <v>897</v>
      </c>
      <c r="B54" s="12"/>
      <c r="C54" s="12">
        <f t="shared" ref="C54:F54" si="16">(C53-B53)/C53</f>
        <v>0.1265626926</v>
      </c>
      <c r="D54" s="12">
        <f t="shared" si="16"/>
        <v>0.02676590329</v>
      </c>
      <c r="E54" s="12">
        <f t="shared" si="16"/>
        <v>-0.2301355715</v>
      </c>
      <c r="F54" s="12">
        <f t="shared" si="16"/>
        <v>0.1748593226</v>
      </c>
    </row>
    <row r="55">
      <c r="A55" s="60"/>
    </row>
    <row r="56">
      <c r="A56" s="32" t="s">
        <v>825</v>
      </c>
      <c r="B56" s="33">
        <v>3225.81</v>
      </c>
      <c r="C56" s="33">
        <v>4014.61</v>
      </c>
      <c r="D56" s="33">
        <v>5526.33</v>
      </c>
      <c r="E56" s="33">
        <v>6446.06</v>
      </c>
      <c r="F56" s="33">
        <v>7663.62</v>
      </c>
    </row>
    <row r="57">
      <c r="A57" s="60" t="s">
        <v>898</v>
      </c>
      <c r="B57" s="12">
        <f t="shared" ref="B57:F57" si="17">B53/B50</f>
        <v>0.2865305316</v>
      </c>
      <c r="C57" s="12">
        <f t="shared" si="17"/>
        <v>0.2613612573</v>
      </c>
      <c r="D57" s="12">
        <f t="shared" si="17"/>
        <v>0.1978357615</v>
      </c>
      <c r="E57" s="12">
        <f t="shared" si="17"/>
        <v>0.1368970876</v>
      </c>
      <c r="F57" s="12">
        <f t="shared" si="17"/>
        <v>0.1379724794</v>
      </c>
    </row>
    <row r="58">
      <c r="A58" s="60" t="s">
        <v>899</v>
      </c>
      <c r="B58" s="12">
        <f t="shared" ref="B58:F58" si="18">B53/B56</f>
        <v>0.395485165</v>
      </c>
      <c r="C58" s="12">
        <f t="shared" si="18"/>
        <v>0.3638261251</v>
      </c>
      <c r="D58" s="12">
        <f t="shared" si="18"/>
        <v>0.2715708255</v>
      </c>
      <c r="E58" s="12">
        <f t="shared" si="18"/>
        <v>0.1892660012</v>
      </c>
      <c r="F58" s="12">
        <f t="shared" si="18"/>
        <v>0.1929323218</v>
      </c>
    </row>
    <row r="59">
      <c r="A59" s="60"/>
    </row>
    <row r="60">
      <c r="A60" s="60" t="s">
        <v>900</v>
      </c>
      <c r="B60" s="33"/>
      <c r="C60" s="33">
        <f t="shared" ref="C60:F60" si="19">(C53+B53)/2</f>
        <v>1368.19</v>
      </c>
      <c r="D60" s="33">
        <f t="shared" si="19"/>
        <v>1480.705</v>
      </c>
      <c r="E60" s="33">
        <f t="shared" si="19"/>
        <v>1360.405</v>
      </c>
      <c r="F60" s="33">
        <f t="shared" si="19"/>
        <v>1349.29</v>
      </c>
    </row>
    <row r="61">
      <c r="A61" s="60" t="s">
        <v>901</v>
      </c>
      <c r="B61" s="75"/>
      <c r="C61" s="75">
        <f t="shared" ref="C61:F61" si="20">K51/C60</f>
        <v>0</v>
      </c>
      <c r="D61" s="75">
        <f t="shared" si="20"/>
        <v>0</v>
      </c>
      <c r="E61" s="75">
        <f t="shared" si="20"/>
        <v>0</v>
      </c>
      <c r="F61" s="75">
        <f t="shared" si="20"/>
        <v>0</v>
      </c>
    </row>
    <row r="62">
      <c r="A62" s="60" t="s">
        <v>902</v>
      </c>
      <c r="B62" s="33"/>
      <c r="C62" s="33">
        <f t="shared" ref="C62:F62" si="21">(C60/C56)*365</f>
        <v>124.3929921</v>
      </c>
      <c r="D62" s="33">
        <f t="shared" si="21"/>
        <v>97.79678828</v>
      </c>
      <c r="E62" s="33">
        <f t="shared" si="21"/>
        <v>77.03121364</v>
      </c>
      <c r="F62" s="33">
        <f t="shared" si="21"/>
        <v>64.2634747</v>
      </c>
    </row>
    <row r="65">
      <c r="B65" s="54" t="s">
        <v>856</v>
      </c>
    </row>
    <row r="66">
      <c r="A66" s="32" t="s">
        <v>794</v>
      </c>
      <c r="B66" s="41">
        <v>44256.0</v>
      </c>
      <c r="C66" s="41">
        <v>44621.0</v>
      </c>
      <c r="D66" s="41">
        <v>44986.0</v>
      </c>
      <c r="E66" s="41">
        <v>45352.0</v>
      </c>
      <c r="F66" s="42">
        <v>45717.0</v>
      </c>
    </row>
    <row r="67">
      <c r="A67" s="32" t="s">
        <v>795</v>
      </c>
      <c r="B67" s="33">
        <v>1075.46</v>
      </c>
      <c r="C67" s="55">
        <v>1666.17</v>
      </c>
      <c r="D67" s="33">
        <v>2464.83</v>
      </c>
      <c r="E67" s="33">
        <v>2785.6</v>
      </c>
      <c r="F67" s="33">
        <v>3253.86</v>
      </c>
    </row>
    <row r="68">
      <c r="A68" s="34" t="s">
        <v>796</v>
      </c>
      <c r="B68" s="52"/>
      <c r="C68" s="52">
        <f t="shared" ref="C68:F68" si="22">(C67-B67)/C67</f>
        <v>0.3545316504</v>
      </c>
      <c r="D68" s="52">
        <f t="shared" si="22"/>
        <v>0.3240223464</v>
      </c>
      <c r="E68" s="52">
        <f t="shared" si="22"/>
        <v>0.1151529294</v>
      </c>
      <c r="F68" s="52">
        <f t="shared" si="22"/>
        <v>0.1439090803</v>
      </c>
    </row>
    <row r="69">
      <c r="A69" s="34"/>
    </row>
    <row r="70">
      <c r="A70" s="60" t="s">
        <v>860</v>
      </c>
      <c r="B70" s="33">
        <f>55.88+135.79</f>
        <v>191.67</v>
      </c>
      <c r="C70" s="33">
        <f>61.34+229.23</f>
        <v>290.57</v>
      </c>
      <c r="D70" s="33">
        <f>149.79+338.54</f>
        <v>488.33</v>
      </c>
      <c r="E70" s="33">
        <f>196.74+436.92</f>
        <v>633.66</v>
      </c>
      <c r="F70" s="33">
        <f>192.12+569.86</f>
        <v>761.98</v>
      </c>
    </row>
    <row r="71">
      <c r="A71" s="34" t="s">
        <v>897</v>
      </c>
      <c r="B71" s="12"/>
      <c r="C71" s="12">
        <f t="shared" ref="C71:F71" si="23">(C70-B70)/C70</f>
        <v>0.3403654885</v>
      </c>
      <c r="D71" s="12">
        <f t="shared" si="23"/>
        <v>0.4049720476</v>
      </c>
      <c r="E71" s="12">
        <f t="shared" si="23"/>
        <v>0.2293501247</v>
      </c>
      <c r="F71" s="12">
        <f t="shared" si="23"/>
        <v>0.1684033702</v>
      </c>
    </row>
    <row r="72">
      <c r="A72" s="60"/>
    </row>
    <row r="73">
      <c r="A73" s="32" t="s">
        <v>825</v>
      </c>
      <c r="B73" s="33">
        <v>723.56</v>
      </c>
      <c r="C73" s="33">
        <v>1091.11</v>
      </c>
      <c r="D73" s="33">
        <v>1595.09</v>
      </c>
      <c r="E73" s="33">
        <v>1825.09</v>
      </c>
      <c r="F73" s="33">
        <v>2129.72</v>
      </c>
    </row>
    <row r="74">
      <c r="A74" s="60" t="s">
        <v>898</v>
      </c>
      <c r="B74" s="12">
        <f t="shared" ref="B74:F74" si="24">B70/B67</f>
        <v>0.1782214122</v>
      </c>
      <c r="C74" s="12">
        <f t="shared" si="24"/>
        <v>0.1743939694</v>
      </c>
      <c r="D74" s="12">
        <f t="shared" si="24"/>
        <v>0.1981191401</v>
      </c>
      <c r="E74" s="12">
        <f t="shared" si="24"/>
        <v>0.2274770247</v>
      </c>
      <c r="F74" s="12">
        <f t="shared" si="24"/>
        <v>0.2341772541</v>
      </c>
    </row>
    <row r="75">
      <c r="A75" s="60" t="s">
        <v>899</v>
      </c>
      <c r="B75" s="12">
        <f t="shared" ref="B75:F75" si="25">B70/B73</f>
        <v>0.2648985571</v>
      </c>
      <c r="C75" s="12">
        <f t="shared" si="25"/>
        <v>0.2663067885</v>
      </c>
      <c r="D75" s="12">
        <f t="shared" si="25"/>
        <v>0.3061457347</v>
      </c>
      <c r="E75" s="12">
        <f t="shared" si="25"/>
        <v>0.347193837</v>
      </c>
      <c r="F75" s="12">
        <f t="shared" si="25"/>
        <v>0.3577841219</v>
      </c>
    </row>
    <row r="76">
      <c r="A76" s="60"/>
    </row>
    <row r="77">
      <c r="A77" s="60" t="s">
        <v>900</v>
      </c>
      <c r="B77" s="33"/>
      <c r="C77" s="33">
        <f t="shared" ref="C77:F77" si="26">(C70+B70)/2</f>
        <v>241.12</v>
      </c>
      <c r="D77" s="33">
        <f t="shared" si="26"/>
        <v>389.45</v>
      </c>
      <c r="E77" s="33">
        <f t="shared" si="26"/>
        <v>560.995</v>
      </c>
      <c r="F77" s="33">
        <f t="shared" si="26"/>
        <v>697.82</v>
      </c>
    </row>
    <row r="78">
      <c r="A78" s="60" t="s">
        <v>901</v>
      </c>
      <c r="B78" s="75"/>
      <c r="C78" s="75">
        <f t="shared" ref="C78:F78" si="27">K69/C77</f>
        <v>0</v>
      </c>
      <c r="D78" s="75">
        <f t="shared" si="27"/>
        <v>0</v>
      </c>
      <c r="E78" s="75">
        <f t="shared" si="27"/>
        <v>0</v>
      </c>
      <c r="F78" s="75">
        <f t="shared" si="27"/>
        <v>0</v>
      </c>
    </row>
    <row r="79">
      <c r="A79" s="60" t="s">
        <v>902</v>
      </c>
      <c r="B79" s="33"/>
      <c r="C79" s="33">
        <f t="shared" ref="C79:F79" si="28">(C77/C73)*365</f>
        <v>80.65987847</v>
      </c>
      <c r="D79" s="33">
        <f t="shared" si="28"/>
        <v>89.1167583</v>
      </c>
      <c r="E79" s="33">
        <f t="shared" si="28"/>
        <v>112.1934672</v>
      </c>
      <c r="F79" s="33">
        <f t="shared" si="28"/>
        <v>119.595205</v>
      </c>
    </row>
  </sheetData>
  <mergeCells count="3">
    <mergeCell ref="B31:F31"/>
    <mergeCell ref="B48:F48"/>
    <mergeCell ref="B65:F65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</cols>
  <sheetData>
    <row r="1">
      <c r="A1" s="32" t="s">
        <v>794</v>
      </c>
      <c r="B1" s="40">
        <v>43525.0</v>
      </c>
      <c r="C1" s="41">
        <v>43891.0</v>
      </c>
      <c r="D1" s="41">
        <v>44256.0</v>
      </c>
      <c r="E1" s="41">
        <v>44621.0</v>
      </c>
      <c r="F1" s="41">
        <v>44986.0</v>
      </c>
      <c r="G1" s="41">
        <v>45352.0</v>
      </c>
      <c r="H1" s="42">
        <v>45717.0</v>
      </c>
    </row>
    <row r="2">
      <c r="A2" s="32" t="s">
        <v>795</v>
      </c>
      <c r="B2" s="33">
        <v>20005.0</v>
      </c>
      <c r="C2" s="33">
        <v>24870.0</v>
      </c>
      <c r="D2" s="33">
        <v>24143.0</v>
      </c>
      <c r="E2" s="33">
        <v>30976.0</v>
      </c>
      <c r="F2" s="33">
        <v>42840.0</v>
      </c>
      <c r="G2" s="33">
        <v>50789.0</v>
      </c>
      <c r="H2" s="33">
        <v>59358.0</v>
      </c>
    </row>
    <row r="3">
      <c r="A3" s="34" t="s">
        <v>796</v>
      </c>
      <c r="B3" s="36"/>
      <c r="C3" s="36">
        <f t="shared" ref="C3:H3" si="1">((C2-B2)/C2)</f>
        <v>0.1956172095</v>
      </c>
      <c r="D3" s="36">
        <f t="shared" si="1"/>
        <v>-0.03011224786</v>
      </c>
      <c r="E3" s="36">
        <f t="shared" si="1"/>
        <v>0.2205901343</v>
      </c>
      <c r="F3" s="36">
        <f t="shared" si="1"/>
        <v>0.2769374416</v>
      </c>
      <c r="G3" s="36">
        <f t="shared" si="1"/>
        <v>0.156510268</v>
      </c>
      <c r="H3" s="36">
        <f t="shared" si="1"/>
        <v>0.1443613329</v>
      </c>
    </row>
    <row r="4">
      <c r="A4" s="34"/>
    </row>
    <row r="5">
      <c r="A5" s="76" t="s">
        <v>872</v>
      </c>
      <c r="B5" s="65">
        <v>64.37</v>
      </c>
      <c r="C5" s="65">
        <v>19.55</v>
      </c>
      <c r="D5" s="65">
        <v>43.58</v>
      </c>
      <c r="E5" s="10">
        <v>66.89</v>
      </c>
      <c r="F5" s="10">
        <v>62.16</v>
      </c>
      <c r="G5" s="10">
        <v>166.37</v>
      </c>
      <c r="H5" s="10">
        <v>153.79</v>
      </c>
    </row>
    <row r="6">
      <c r="A6" s="34" t="s">
        <v>897</v>
      </c>
      <c r="B6" s="12"/>
      <c r="C6" s="12">
        <f t="shared" ref="C6:H6" si="2">(C5-B5)/C5</f>
        <v>-2.29258312</v>
      </c>
      <c r="D6" s="12">
        <f t="shared" si="2"/>
        <v>0.5513997246</v>
      </c>
      <c r="E6" s="12">
        <f t="shared" si="2"/>
        <v>0.3484825833</v>
      </c>
      <c r="F6" s="12">
        <f t="shared" si="2"/>
        <v>-0.07609395109</v>
      </c>
      <c r="G6" s="12">
        <f t="shared" si="2"/>
        <v>0.6263749474</v>
      </c>
      <c r="H6" s="12">
        <f t="shared" si="2"/>
        <v>-0.08179985695</v>
      </c>
    </row>
    <row r="7">
      <c r="A7" s="60"/>
    </row>
    <row r="8">
      <c r="A8" s="60" t="s">
        <v>903</v>
      </c>
      <c r="B8" s="12">
        <f t="shared" ref="B8:H8" si="3">B5/B2</f>
        <v>0.003217695576</v>
      </c>
      <c r="C8" s="12">
        <f t="shared" si="3"/>
        <v>0.0007860876558</v>
      </c>
      <c r="D8" s="12">
        <f t="shared" si="3"/>
        <v>0.001805078076</v>
      </c>
      <c r="E8" s="12">
        <f t="shared" si="3"/>
        <v>0.00215941374</v>
      </c>
      <c r="F8" s="12">
        <f t="shared" si="3"/>
        <v>0.001450980392</v>
      </c>
      <c r="G8" s="12">
        <f t="shared" si="3"/>
        <v>0.003275709307</v>
      </c>
      <c r="H8" s="12">
        <f t="shared" si="3"/>
        <v>0.002590889181</v>
      </c>
    </row>
    <row r="9">
      <c r="A9" s="60"/>
      <c r="B9" s="12"/>
      <c r="C9" s="12"/>
      <c r="D9" s="12"/>
      <c r="E9" s="12"/>
      <c r="F9" s="12"/>
      <c r="G9" s="12"/>
      <c r="H9" s="12"/>
    </row>
    <row r="10">
      <c r="A10" s="60" t="s">
        <v>904</v>
      </c>
      <c r="B10" s="33"/>
      <c r="C10" s="33">
        <f t="shared" ref="C10:H10" si="4">(C5+B5)/2</f>
        <v>41.96</v>
      </c>
      <c r="D10" s="33">
        <f t="shared" si="4"/>
        <v>31.565</v>
      </c>
      <c r="E10" s="33">
        <f t="shared" si="4"/>
        <v>55.235</v>
      </c>
      <c r="F10" s="33">
        <f t="shared" si="4"/>
        <v>64.525</v>
      </c>
      <c r="G10" s="33">
        <f t="shared" si="4"/>
        <v>114.265</v>
      </c>
      <c r="H10" s="33">
        <f t="shared" si="4"/>
        <v>160.08</v>
      </c>
    </row>
    <row r="11">
      <c r="A11" s="60" t="s">
        <v>905</v>
      </c>
      <c r="C11" s="75">
        <f t="shared" ref="C11:H11" si="5">M10/C10</f>
        <v>0</v>
      </c>
      <c r="D11" s="75">
        <f t="shared" si="5"/>
        <v>0</v>
      </c>
      <c r="E11" s="75">
        <f t="shared" si="5"/>
        <v>0</v>
      </c>
      <c r="F11" s="75">
        <f t="shared" si="5"/>
        <v>0</v>
      </c>
      <c r="G11" s="75">
        <f t="shared" si="5"/>
        <v>0</v>
      </c>
      <c r="H11" s="75">
        <f t="shared" si="5"/>
        <v>0</v>
      </c>
    </row>
    <row r="12">
      <c r="A12" s="60" t="s">
        <v>906</v>
      </c>
      <c r="B12" s="33"/>
      <c r="C12" s="58">
        <f t="shared" ref="C12:H12" si="6">(C10/C2)*365</f>
        <v>0.6158182549</v>
      </c>
      <c r="D12" s="58">
        <f t="shared" si="6"/>
        <v>0.4772076792</v>
      </c>
      <c r="E12" s="58">
        <f t="shared" si="6"/>
        <v>0.6508514657</v>
      </c>
      <c r="F12" s="58">
        <f t="shared" si="6"/>
        <v>0.5497578198</v>
      </c>
      <c r="G12" s="58">
        <f t="shared" si="6"/>
        <v>0.8211763374</v>
      </c>
      <c r="H12" s="58">
        <f t="shared" si="6"/>
        <v>0.9843525725</v>
      </c>
    </row>
    <row r="14">
      <c r="B14" s="54" t="s">
        <v>847</v>
      </c>
    </row>
    <row r="15">
      <c r="A15" s="32" t="s">
        <v>794</v>
      </c>
      <c r="B15" s="41">
        <v>44256.0</v>
      </c>
      <c r="C15" s="41">
        <v>44621.0</v>
      </c>
      <c r="D15" s="41">
        <v>44986.0</v>
      </c>
      <c r="E15" s="41">
        <v>45352.0</v>
      </c>
      <c r="F15" s="42">
        <v>45717.0</v>
      </c>
    </row>
    <row r="16">
      <c r="A16" s="32" t="s">
        <v>795</v>
      </c>
      <c r="B16" s="33">
        <v>136911.0</v>
      </c>
      <c r="C16" s="55">
        <v>170133.0</v>
      </c>
      <c r="D16" s="33">
        <v>223653.0</v>
      </c>
      <c r="E16" s="33">
        <v>258388.0</v>
      </c>
      <c r="F16" s="33">
        <v>271012.0</v>
      </c>
    </row>
    <row r="17">
      <c r="A17" s="34" t="s">
        <v>796</v>
      </c>
      <c r="B17" s="36"/>
      <c r="C17" s="36">
        <f t="shared" ref="C17:F17" si="7">((C16-B16)/C16)</f>
        <v>0.1952707588</v>
      </c>
      <c r="D17" s="36">
        <f t="shared" si="7"/>
        <v>0.2392992716</v>
      </c>
      <c r="E17" s="36">
        <f t="shared" si="7"/>
        <v>0.1344296175</v>
      </c>
      <c r="F17" s="36">
        <f t="shared" si="7"/>
        <v>0.0465809632</v>
      </c>
    </row>
    <row r="18">
      <c r="A18" s="34"/>
    </row>
    <row r="19">
      <c r="A19" s="76" t="s">
        <v>872</v>
      </c>
      <c r="B19" s="33">
        <v>6020.89</v>
      </c>
      <c r="C19" s="33">
        <v>8833.93</v>
      </c>
      <c r="D19" s="33">
        <v>5520.0</v>
      </c>
      <c r="E19" s="33">
        <v>6263.0</v>
      </c>
      <c r="F19" s="33">
        <v>4588.0</v>
      </c>
    </row>
    <row r="20">
      <c r="A20" s="34" t="s">
        <v>897</v>
      </c>
      <c r="B20" s="12"/>
      <c r="C20" s="12">
        <f t="shared" ref="C20:F20" si="8">(C19-B19)/C19</f>
        <v>0.3184358491</v>
      </c>
      <c r="D20" s="12">
        <f t="shared" si="8"/>
        <v>-0.6003496377</v>
      </c>
      <c r="E20" s="12">
        <f t="shared" si="8"/>
        <v>0.1186332429</v>
      </c>
      <c r="F20" s="12">
        <f t="shared" si="8"/>
        <v>-0.3650828248</v>
      </c>
    </row>
    <row r="21">
      <c r="A21" s="60"/>
    </row>
    <row r="22">
      <c r="A22" s="60" t="s">
        <v>903</v>
      </c>
      <c r="B22" s="12">
        <f t="shared" ref="B22:F22" si="9">B19/B16</f>
        <v>0.04397667098</v>
      </c>
      <c r="C22" s="12">
        <f t="shared" si="9"/>
        <v>0.05192367148</v>
      </c>
      <c r="D22" s="12">
        <f t="shared" si="9"/>
        <v>0.0246810908</v>
      </c>
      <c r="E22" s="12">
        <f t="shared" si="9"/>
        <v>0.02423874174</v>
      </c>
      <c r="F22" s="12">
        <f t="shared" si="9"/>
        <v>0.01692913967</v>
      </c>
    </row>
    <row r="23">
      <c r="A23" s="60"/>
      <c r="B23" s="12"/>
      <c r="C23" s="12"/>
      <c r="D23" s="12"/>
      <c r="E23" s="12"/>
      <c r="F23" s="12"/>
    </row>
    <row r="24">
      <c r="A24" s="60" t="s">
        <v>904</v>
      </c>
      <c r="B24" s="33"/>
      <c r="C24" s="33">
        <f t="shared" ref="C24:F24" si="10">(C19+B19)/2</f>
        <v>7427.41</v>
      </c>
      <c r="D24" s="33">
        <f t="shared" si="10"/>
        <v>7176.965</v>
      </c>
      <c r="E24" s="33">
        <f t="shared" si="10"/>
        <v>5891.5</v>
      </c>
      <c r="F24" s="33">
        <f t="shared" si="10"/>
        <v>5425.5</v>
      </c>
    </row>
    <row r="25">
      <c r="A25" s="60" t="s">
        <v>905</v>
      </c>
      <c r="B25" s="75"/>
      <c r="C25" s="75">
        <f t="shared" ref="C25:F25" si="11">O24/C24</f>
        <v>0</v>
      </c>
      <c r="D25" s="75">
        <f t="shared" si="11"/>
        <v>0</v>
      </c>
      <c r="E25" s="75">
        <f t="shared" si="11"/>
        <v>0</v>
      </c>
      <c r="F25" s="75">
        <f t="shared" si="11"/>
        <v>0</v>
      </c>
    </row>
    <row r="26">
      <c r="A26" s="60" t="s">
        <v>906</v>
      </c>
      <c r="B26" s="58"/>
      <c r="C26" s="58">
        <f t="shared" ref="C26:F26" si="12">(C24/C16)*365</f>
        <v>15.93461968</v>
      </c>
      <c r="D26" s="58">
        <f t="shared" si="12"/>
        <v>11.71275246</v>
      </c>
      <c r="E26" s="58">
        <f t="shared" si="12"/>
        <v>8.322358236</v>
      </c>
      <c r="F26" s="58">
        <f t="shared" si="12"/>
        <v>7.307084188</v>
      </c>
    </row>
    <row r="29">
      <c r="B29" s="54" t="s">
        <v>850</v>
      </c>
    </row>
    <row r="30">
      <c r="A30" s="32" t="s">
        <v>794</v>
      </c>
      <c r="B30" s="41">
        <v>44256.0</v>
      </c>
      <c r="C30" s="41">
        <v>44621.0</v>
      </c>
      <c r="D30" s="41">
        <v>44986.0</v>
      </c>
      <c r="E30" s="41">
        <v>45352.0</v>
      </c>
      <c r="F30" s="42">
        <v>45717.0</v>
      </c>
    </row>
    <row r="31">
      <c r="A31" s="32" t="s">
        <v>795</v>
      </c>
      <c r="B31" s="33">
        <v>4452.44</v>
      </c>
      <c r="C31" s="55">
        <v>5588.51</v>
      </c>
      <c r="D31" s="33">
        <v>7586.04</v>
      </c>
      <c r="E31" s="33">
        <v>8911.95</v>
      </c>
      <c r="F31" s="33">
        <v>10716.34</v>
      </c>
    </row>
    <row r="32">
      <c r="A32" s="34" t="s">
        <v>796</v>
      </c>
      <c r="B32" s="36"/>
      <c r="C32" s="36">
        <f t="shared" ref="C32:F32" si="13">((C31-B31)/C31)</f>
        <v>0.2032867437</v>
      </c>
      <c r="D32" s="36">
        <f t="shared" si="13"/>
        <v>0.2633165657</v>
      </c>
      <c r="E32" s="36">
        <f t="shared" si="13"/>
        <v>0.1487788868</v>
      </c>
      <c r="F32" s="36">
        <f t="shared" si="13"/>
        <v>0.1683774498</v>
      </c>
    </row>
    <row r="33">
      <c r="A33" s="34"/>
    </row>
    <row r="34">
      <c r="A34" s="76" t="s">
        <v>872</v>
      </c>
      <c r="B34" s="74">
        <v>3.33</v>
      </c>
      <c r="C34" s="74">
        <v>2.32</v>
      </c>
      <c r="D34" s="74">
        <v>4.15</v>
      </c>
      <c r="E34" s="74">
        <v>31.74</v>
      </c>
      <c r="F34" s="74">
        <v>66.7</v>
      </c>
    </row>
    <row r="35">
      <c r="A35" s="34" t="s">
        <v>897</v>
      </c>
      <c r="B35" s="12"/>
      <c r="C35" s="12">
        <f t="shared" ref="C35:F35" si="14">(C34-B34)/C34</f>
        <v>-0.4353448276</v>
      </c>
      <c r="D35" s="12">
        <f t="shared" si="14"/>
        <v>0.4409638554</v>
      </c>
      <c r="E35" s="12">
        <f t="shared" si="14"/>
        <v>0.8692501575</v>
      </c>
      <c r="F35" s="12">
        <f t="shared" si="14"/>
        <v>0.524137931</v>
      </c>
    </row>
    <row r="36">
      <c r="A36" s="60"/>
    </row>
    <row r="37">
      <c r="A37" s="60" t="s">
        <v>903</v>
      </c>
      <c r="B37" s="12">
        <f t="shared" ref="B37:F37" si="15">B34/B31</f>
        <v>0.0007479045198</v>
      </c>
      <c r="C37" s="12">
        <f t="shared" si="15"/>
        <v>0.0004151374875</v>
      </c>
      <c r="D37" s="12">
        <f t="shared" si="15"/>
        <v>0.0005470574898</v>
      </c>
      <c r="E37" s="12">
        <f t="shared" si="15"/>
        <v>0.003561510107</v>
      </c>
      <c r="F37" s="12">
        <f t="shared" si="15"/>
        <v>0.006224139958</v>
      </c>
    </row>
    <row r="38">
      <c r="A38" s="60"/>
      <c r="B38" s="12"/>
      <c r="C38" s="12"/>
      <c r="D38" s="12"/>
      <c r="E38" s="12"/>
      <c r="F38" s="12"/>
    </row>
    <row r="39">
      <c r="A39" s="60" t="s">
        <v>904</v>
      </c>
      <c r="B39" s="33"/>
      <c r="C39" s="33">
        <f t="shared" ref="C39:F39" si="16">(C34+B34)/2</f>
        <v>2.825</v>
      </c>
      <c r="D39" s="33">
        <f t="shared" si="16"/>
        <v>3.235</v>
      </c>
      <c r="E39" s="33">
        <f t="shared" si="16"/>
        <v>17.945</v>
      </c>
      <c r="F39" s="33">
        <f t="shared" si="16"/>
        <v>49.22</v>
      </c>
    </row>
    <row r="40">
      <c r="A40" s="60" t="s">
        <v>905</v>
      </c>
      <c r="B40" s="75"/>
      <c r="C40" s="75">
        <f t="shared" ref="C40:F40" si="17">O39/C39</f>
        <v>0</v>
      </c>
      <c r="D40" s="75">
        <f t="shared" si="17"/>
        <v>0</v>
      </c>
      <c r="E40" s="75">
        <f t="shared" si="17"/>
        <v>0</v>
      </c>
      <c r="F40" s="75">
        <f t="shared" si="17"/>
        <v>0</v>
      </c>
    </row>
    <row r="41">
      <c r="A41" s="60" t="s">
        <v>906</v>
      </c>
      <c r="B41" s="58"/>
      <c r="C41" s="58">
        <f t="shared" ref="C41:F41" si="18">(C39/C31)*365</f>
        <v>0.1845080352</v>
      </c>
      <c r="D41" s="58">
        <f t="shared" si="18"/>
        <v>0.155651038</v>
      </c>
      <c r="E41" s="58">
        <f t="shared" si="18"/>
        <v>0.7349598012</v>
      </c>
      <c r="F41" s="58">
        <f t="shared" si="18"/>
        <v>1.676439904</v>
      </c>
    </row>
    <row r="44">
      <c r="B44" s="54" t="s">
        <v>856</v>
      </c>
    </row>
    <row r="45">
      <c r="A45" s="32" t="s">
        <v>794</v>
      </c>
      <c r="B45" s="41">
        <v>44256.0</v>
      </c>
      <c r="C45" s="41">
        <v>44621.0</v>
      </c>
      <c r="D45" s="41">
        <v>44986.0</v>
      </c>
      <c r="E45" s="41">
        <v>45352.0</v>
      </c>
      <c r="F45" s="42">
        <v>45717.0</v>
      </c>
    </row>
    <row r="46">
      <c r="A46" s="32" t="s">
        <v>795</v>
      </c>
      <c r="B46" s="33">
        <v>1075.46</v>
      </c>
      <c r="C46" s="55">
        <v>1666.17</v>
      </c>
      <c r="D46" s="33">
        <v>2464.83</v>
      </c>
      <c r="E46" s="33">
        <v>2785.6</v>
      </c>
      <c r="F46" s="33">
        <v>3253.86</v>
      </c>
    </row>
    <row r="47">
      <c r="A47" s="34" t="s">
        <v>796</v>
      </c>
      <c r="B47" s="36"/>
      <c r="C47" s="36">
        <f t="shared" ref="C47:F47" si="19">((C46-B46)/C46)</f>
        <v>0.3545316504</v>
      </c>
      <c r="D47" s="36">
        <f t="shared" si="19"/>
        <v>0.3240223464</v>
      </c>
      <c r="E47" s="36">
        <f t="shared" si="19"/>
        <v>0.1151529294</v>
      </c>
      <c r="F47" s="36">
        <f t="shared" si="19"/>
        <v>0.1439090803</v>
      </c>
    </row>
    <row r="48">
      <c r="A48" s="34"/>
    </row>
    <row r="49">
      <c r="A49" s="76" t="s">
        <v>872</v>
      </c>
      <c r="B49" s="74">
        <v>0.0</v>
      </c>
      <c r="C49" s="74">
        <v>0.0</v>
      </c>
      <c r="D49" s="74">
        <v>0.0</v>
      </c>
      <c r="E49" s="74">
        <v>0.0</v>
      </c>
      <c r="F49" s="74">
        <v>0.0</v>
      </c>
    </row>
    <row r="50">
      <c r="A50" s="34" t="s">
        <v>897</v>
      </c>
      <c r="B50" s="12"/>
      <c r="C50" s="12" t="str">
        <f t="shared" ref="C50:F50" si="20">(C49-B49)/C49</f>
        <v>#DIV/0!</v>
      </c>
      <c r="D50" s="12" t="str">
        <f t="shared" si="20"/>
        <v>#DIV/0!</v>
      </c>
      <c r="E50" s="12" t="str">
        <f t="shared" si="20"/>
        <v>#DIV/0!</v>
      </c>
      <c r="F50" s="12" t="str">
        <f t="shared" si="20"/>
        <v>#DIV/0!</v>
      </c>
    </row>
    <row r="51">
      <c r="A51" s="60"/>
    </row>
    <row r="52">
      <c r="A52" s="60" t="s">
        <v>903</v>
      </c>
      <c r="B52" s="12">
        <f t="shared" ref="B52:F52" si="21">B49/B46</f>
        <v>0</v>
      </c>
      <c r="C52" s="12">
        <f t="shared" si="21"/>
        <v>0</v>
      </c>
      <c r="D52" s="12">
        <f t="shared" si="21"/>
        <v>0</v>
      </c>
      <c r="E52" s="12">
        <f t="shared" si="21"/>
        <v>0</v>
      </c>
      <c r="F52" s="12">
        <f t="shared" si="21"/>
        <v>0</v>
      </c>
    </row>
    <row r="53">
      <c r="A53" s="60"/>
      <c r="B53" s="12"/>
      <c r="C53" s="12"/>
      <c r="D53" s="12"/>
      <c r="E53" s="12"/>
      <c r="F53" s="12"/>
    </row>
    <row r="54">
      <c r="A54" s="60" t="s">
        <v>904</v>
      </c>
      <c r="B54" s="33"/>
      <c r="C54" s="33">
        <f t="shared" ref="C54:F54" si="22">(C49+B49)/2</f>
        <v>0</v>
      </c>
      <c r="D54" s="33">
        <f t="shared" si="22"/>
        <v>0</v>
      </c>
      <c r="E54" s="33">
        <f t="shared" si="22"/>
        <v>0</v>
      </c>
      <c r="F54" s="33">
        <f t="shared" si="22"/>
        <v>0</v>
      </c>
    </row>
    <row r="55">
      <c r="A55" s="60" t="s">
        <v>905</v>
      </c>
      <c r="B55" s="75"/>
      <c r="C55" s="75" t="str">
        <f t="shared" ref="C55:F55" si="23">O54/C54</f>
        <v>#DIV/0!</v>
      </c>
      <c r="D55" s="75" t="str">
        <f t="shared" si="23"/>
        <v>#DIV/0!</v>
      </c>
      <c r="E55" s="75" t="str">
        <f t="shared" si="23"/>
        <v>#DIV/0!</v>
      </c>
      <c r="F55" s="75" t="str">
        <f t="shared" si="23"/>
        <v>#DIV/0!</v>
      </c>
    </row>
    <row r="56">
      <c r="A56" s="60" t="s">
        <v>906</v>
      </c>
      <c r="B56" s="58"/>
      <c r="C56" s="58">
        <f t="shared" ref="C56:F56" si="24">(C54/C46)*365</f>
        <v>0</v>
      </c>
      <c r="D56" s="58">
        <f t="shared" si="24"/>
        <v>0</v>
      </c>
      <c r="E56" s="58">
        <f t="shared" si="24"/>
        <v>0</v>
      </c>
      <c r="F56" s="58">
        <f t="shared" si="24"/>
        <v>0</v>
      </c>
    </row>
  </sheetData>
  <mergeCells count="3">
    <mergeCell ref="B14:F14"/>
    <mergeCell ref="B29:F29"/>
    <mergeCell ref="B44:F44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</cols>
  <sheetData>
    <row r="1">
      <c r="A1" s="32" t="s">
        <v>794</v>
      </c>
      <c r="B1" s="41">
        <v>43891.0</v>
      </c>
      <c r="C1" s="41">
        <v>44256.0</v>
      </c>
      <c r="D1" s="41">
        <v>44621.0</v>
      </c>
      <c r="E1" s="41">
        <v>44986.0</v>
      </c>
      <c r="F1" s="41">
        <v>45352.0</v>
      </c>
      <c r="G1" s="42">
        <v>45717.0</v>
      </c>
    </row>
    <row r="2">
      <c r="A2" s="32" t="s">
        <v>906</v>
      </c>
      <c r="B2" s="77">
        <v>0.6158182549256133</v>
      </c>
      <c r="C2" s="77">
        <v>0.4772076792445015</v>
      </c>
      <c r="D2" s="77">
        <v>0.6508514656508265</v>
      </c>
      <c r="E2" s="77">
        <v>0.5497578197945845</v>
      </c>
      <c r="F2" s="77">
        <v>0.8211763373958928</v>
      </c>
      <c r="G2" s="77">
        <v>0.9843525725260284</v>
      </c>
    </row>
    <row r="3">
      <c r="A3" s="32" t="s">
        <v>893</v>
      </c>
      <c r="B3" s="55">
        <v>30.753034057356018</v>
      </c>
      <c r="C3" s="55">
        <v>37.25242134637951</v>
      </c>
      <c r="D3" s="55">
        <v>34.492108080351755</v>
      </c>
      <c r="E3" s="55">
        <v>30.026166757595036</v>
      </c>
      <c r="F3" s="55">
        <v>30.24075068157859</v>
      </c>
      <c r="G3" s="55">
        <v>32.38896021300965</v>
      </c>
    </row>
    <row r="4">
      <c r="A4" s="32" t="s">
        <v>902</v>
      </c>
      <c r="B4" s="55">
        <v>7.754913654170298</v>
      </c>
      <c r="C4" s="55">
        <v>8.981572566442289</v>
      </c>
      <c r="D4" s="55">
        <v>8.067352547904203</v>
      </c>
      <c r="E4" s="55">
        <v>6.736367958948933</v>
      </c>
      <c r="F4" s="55">
        <v>7.332128775950015</v>
      </c>
      <c r="G4" s="55">
        <v>7.421128270661521</v>
      </c>
    </row>
    <row r="5">
      <c r="A5" s="32" t="s">
        <v>907</v>
      </c>
      <c r="B5" s="18">
        <f t="shared" ref="B5:G5" si="1">B3+B2-B4</f>
        <v>23.61393866</v>
      </c>
      <c r="C5" s="18">
        <f t="shared" si="1"/>
        <v>28.74805646</v>
      </c>
      <c r="D5" s="18">
        <f t="shared" si="1"/>
        <v>27.075607</v>
      </c>
      <c r="E5" s="18">
        <f t="shared" si="1"/>
        <v>23.83955662</v>
      </c>
      <c r="F5" s="18">
        <f t="shared" si="1"/>
        <v>23.72979824</v>
      </c>
      <c r="G5" s="18">
        <f t="shared" si="1"/>
        <v>25.95218451</v>
      </c>
    </row>
    <row r="27">
      <c r="B27" s="54" t="s">
        <v>847</v>
      </c>
    </row>
    <row r="28">
      <c r="A28" s="32" t="s">
        <v>794</v>
      </c>
      <c r="B28" s="41">
        <v>44256.0</v>
      </c>
      <c r="C28" s="41">
        <v>44621.0</v>
      </c>
      <c r="D28" s="41">
        <v>44986.0</v>
      </c>
      <c r="E28" s="41">
        <v>45352.0</v>
      </c>
      <c r="F28" s="42">
        <v>45717.0</v>
      </c>
    </row>
    <row r="29">
      <c r="A29" s="32" t="s">
        <v>906</v>
      </c>
      <c r="B29" s="77"/>
      <c r="C29" s="77">
        <v>15.93461967989749</v>
      </c>
      <c r="D29" s="77">
        <v>11.712752455813247</v>
      </c>
      <c r="E29" s="77">
        <v>8.32235823645061</v>
      </c>
      <c r="F29" s="77">
        <v>7.30708418815403</v>
      </c>
    </row>
    <row r="30">
      <c r="A30" s="32" t="s">
        <v>893</v>
      </c>
      <c r="B30" s="55">
        <v>33.58298250624002</v>
      </c>
      <c r="C30" s="55">
        <v>40.125395293900674</v>
      </c>
      <c r="D30" s="55">
        <v>42.59373879452396</v>
      </c>
      <c r="E30" s="55">
        <v>37.55492463256697</v>
      </c>
      <c r="F30" s="55">
        <v>31.13458719556234</v>
      </c>
    </row>
    <row r="31">
      <c r="A31" s="32" t="s">
        <v>902</v>
      </c>
      <c r="B31" s="55"/>
      <c r="C31" s="55">
        <v>24.37150337796606</v>
      </c>
      <c r="D31" s="55">
        <v>26.931587394940568</v>
      </c>
      <c r="E31" s="55">
        <v>32.0653609844787</v>
      </c>
      <c r="F31" s="55">
        <v>33.73407565054253</v>
      </c>
    </row>
    <row r="32">
      <c r="A32" s="32" t="s">
        <v>907</v>
      </c>
      <c r="B32" s="18">
        <f t="shared" ref="B32:F32" si="2">B30+B29-B31</f>
        <v>33.58298251</v>
      </c>
      <c r="C32" s="18">
        <f t="shared" si="2"/>
        <v>31.6885116</v>
      </c>
      <c r="D32" s="18">
        <f t="shared" si="2"/>
        <v>27.37490386</v>
      </c>
      <c r="E32" s="18">
        <f t="shared" si="2"/>
        <v>13.81192188</v>
      </c>
      <c r="F32" s="18">
        <f t="shared" si="2"/>
        <v>4.707595733</v>
      </c>
    </row>
    <row r="35">
      <c r="B35" s="54" t="s">
        <v>850</v>
      </c>
    </row>
    <row r="36">
      <c r="A36" s="32" t="s">
        <v>794</v>
      </c>
      <c r="B36" s="41">
        <v>44256.0</v>
      </c>
      <c r="C36" s="41">
        <v>44621.0</v>
      </c>
      <c r="D36" s="41">
        <v>44986.0</v>
      </c>
      <c r="E36" s="41">
        <v>45352.0</v>
      </c>
      <c r="F36" s="42">
        <v>45717.0</v>
      </c>
    </row>
    <row r="37">
      <c r="A37" s="32" t="s">
        <v>906</v>
      </c>
      <c r="B37" s="77"/>
      <c r="C37" s="77">
        <v>0.18450803523658363</v>
      </c>
      <c r="D37" s="77">
        <v>0.15565103795919877</v>
      </c>
      <c r="E37" s="77">
        <v>0.7349598011658502</v>
      </c>
      <c r="F37" s="77">
        <v>1.6764399039224211</v>
      </c>
    </row>
    <row r="38">
      <c r="A38" s="32" t="s">
        <v>893</v>
      </c>
      <c r="B38" s="55">
        <v>117.75790421630536</v>
      </c>
      <c r="C38" s="55">
        <v>99.35101417074138</v>
      </c>
      <c r="D38" s="55">
        <v>86.711054171575</v>
      </c>
      <c r="E38" s="55">
        <v>81.38841012959854</v>
      </c>
      <c r="F38" s="55">
        <v>78.94921394849953</v>
      </c>
    </row>
    <row r="39">
      <c r="A39" s="32" t="s">
        <v>902</v>
      </c>
      <c r="B39" s="55"/>
      <c r="C39" s="55">
        <v>124.39299209636802</v>
      </c>
      <c r="D39" s="55">
        <v>97.79678828444918</v>
      </c>
      <c r="E39" s="55">
        <v>77.03121364058045</v>
      </c>
      <c r="F39" s="55">
        <v>64.26347470255571</v>
      </c>
    </row>
    <row r="40">
      <c r="A40" s="32" t="s">
        <v>907</v>
      </c>
      <c r="B40" s="18">
        <f t="shared" ref="B40:F40" si="3">B38+B37-B39</f>
        <v>117.7579042</v>
      </c>
      <c r="C40" s="18">
        <f t="shared" si="3"/>
        <v>-24.85746989</v>
      </c>
      <c r="D40" s="18">
        <f t="shared" si="3"/>
        <v>-10.93008307</v>
      </c>
      <c r="E40" s="18">
        <f t="shared" si="3"/>
        <v>5.09215629</v>
      </c>
      <c r="F40" s="18">
        <f t="shared" si="3"/>
        <v>16.36217915</v>
      </c>
    </row>
  </sheetData>
  <mergeCells count="2">
    <mergeCell ref="B27:F27"/>
    <mergeCell ref="B35:F35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</cols>
  <sheetData>
    <row r="1">
      <c r="A1" s="32" t="s">
        <v>794</v>
      </c>
      <c r="B1" s="40">
        <v>42795.0</v>
      </c>
      <c r="C1" s="40">
        <v>43160.0</v>
      </c>
      <c r="D1" s="40">
        <v>43525.0</v>
      </c>
      <c r="E1" s="41">
        <v>43891.0</v>
      </c>
      <c r="F1" s="41">
        <v>44256.0</v>
      </c>
      <c r="G1" s="41">
        <v>44621.0</v>
      </c>
      <c r="H1" s="41">
        <v>44986.0</v>
      </c>
      <c r="I1" s="41">
        <v>45352.0</v>
      </c>
      <c r="J1" s="42">
        <v>45717.0</v>
      </c>
    </row>
    <row r="2">
      <c r="A2" s="32" t="s">
        <v>908</v>
      </c>
      <c r="B2" s="55">
        <v>457.842</v>
      </c>
      <c r="C2" s="55">
        <v>730.0062</v>
      </c>
      <c r="D2" s="55">
        <v>806.84</v>
      </c>
      <c r="E2" s="55">
        <v>1280.14</v>
      </c>
      <c r="F2" s="55">
        <v>1375.14</v>
      </c>
      <c r="G2" s="55">
        <v>1372.35</v>
      </c>
      <c r="H2" s="55">
        <v>2630.27</v>
      </c>
      <c r="I2" s="55">
        <v>2745.84</v>
      </c>
      <c r="J2" s="55">
        <v>2462.97</v>
      </c>
    </row>
    <row r="3">
      <c r="A3" s="32" t="s">
        <v>909</v>
      </c>
      <c r="B3" s="55">
        <v>-2484.1724</v>
      </c>
      <c r="C3" s="55">
        <v>461.6016</v>
      </c>
      <c r="D3" s="55">
        <v>-958.37</v>
      </c>
      <c r="E3" s="55">
        <v>-4656.56</v>
      </c>
      <c r="F3" s="55">
        <v>-1110.0</v>
      </c>
      <c r="G3" s="55">
        <v>-1289.49</v>
      </c>
      <c r="H3" s="55">
        <v>-2313.1</v>
      </c>
      <c r="I3" s="55">
        <v>-2468.23</v>
      </c>
      <c r="J3" s="55">
        <v>-2185.31</v>
      </c>
    </row>
    <row r="4">
      <c r="A4" s="32" t="s">
        <v>910</v>
      </c>
      <c r="B4" s="55">
        <v>2025.0</v>
      </c>
      <c r="C4" s="55">
        <v>-1159.0725</v>
      </c>
      <c r="D4" s="55">
        <v>208.98</v>
      </c>
      <c r="E4" s="55">
        <v>3357.42</v>
      </c>
      <c r="F4" s="55">
        <v>-179.5</v>
      </c>
      <c r="G4" s="55">
        <v>-179.24</v>
      </c>
      <c r="H4" s="55">
        <v>-205.14</v>
      </c>
      <c r="I4" s="55">
        <v>-147.64</v>
      </c>
      <c r="J4" s="55">
        <v>-259.3</v>
      </c>
    </row>
    <row r="5">
      <c r="A5" s="32" t="s">
        <v>911</v>
      </c>
      <c r="B5" s="33"/>
      <c r="C5" s="52">
        <f t="shared" ref="C5:J5" si="1">(C2-B2)/C2</f>
        <v>0.3728245048</v>
      </c>
      <c r="D5" s="52">
        <f t="shared" si="1"/>
        <v>0.09522805017</v>
      </c>
      <c r="E5" s="52">
        <f t="shared" si="1"/>
        <v>0.3697251863</v>
      </c>
      <c r="F5" s="52">
        <f t="shared" si="1"/>
        <v>0.0690838751</v>
      </c>
      <c r="G5" s="52">
        <f t="shared" si="1"/>
        <v>-0.002033009072</v>
      </c>
      <c r="H5" s="52">
        <f t="shared" si="1"/>
        <v>0.4782474803</v>
      </c>
      <c r="I5" s="52">
        <f t="shared" si="1"/>
        <v>0.04208912391</v>
      </c>
      <c r="J5" s="52">
        <f t="shared" si="1"/>
        <v>-0.1148491455</v>
      </c>
    </row>
    <row r="6">
      <c r="A6" s="32" t="s">
        <v>912</v>
      </c>
      <c r="B6" s="33">
        <f t="shared" ref="B6:J6" si="2">SUM(B2:B4)</f>
        <v>-1.3304</v>
      </c>
      <c r="C6" s="33">
        <f t="shared" si="2"/>
        <v>32.5353</v>
      </c>
      <c r="D6" s="33">
        <f t="shared" si="2"/>
        <v>57.45</v>
      </c>
      <c r="E6" s="33">
        <f t="shared" si="2"/>
        <v>-19</v>
      </c>
      <c r="F6" s="33">
        <f t="shared" si="2"/>
        <v>85.64</v>
      </c>
      <c r="G6" s="33">
        <f t="shared" si="2"/>
        <v>-96.38</v>
      </c>
      <c r="H6" s="33">
        <f t="shared" si="2"/>
        <v>112.03</v>
      </c>
      <c r="I6" s="33">
        <f t="shared" si="2"/>
        <v>129.97</v>
      </c>
      <c r="J6" s="33">
        <f t="shared" si="2"/>
        <v>18.36</v>
      </c>
    </row>
    <row r="7">
      <c r="A7" s="32"/>
      <c r="B7" s="33"/>
      <c r="C7" s="33"/>
      <c r="D7" s="33"/>
      <c r="E7" s="33"/>
      <c r="F7" s="33"/>
      <c r="G7" s="33"/>
      <c r="H7" s="33"/>
      <c r="I7" s="33"/>
      <c r="J7" s="33"/>
    </row>
    <row r="8">
      <c r="A8" s="32" t="s">
        <v>913</v>
      </c>
      <c r="B8" s="52">
        <f>B2/'Revenue Analysis'!B2</f>
        <v>0.03848058497</v>
      </c>
      <c r="C8" s="52">
        <f>C2/'Revenue Analysis'!C2</f>
        <v>0.04856024746</v>
      </c>
      <c r="D8" s="52">
        <f>D2/'Revenue Analysis'!D2</f>
        <v>0.04033191702</v>
      </c>
      <c r="E8" s="52">
        <f>E2/'Revenue Analysis'!E2</f>
        <v>0.05147326096</v>
      </c>
      <c r="F8" s="52">
        <f>F2/'Revenue Analysis'!F2</f>
        <v>0.05695812451</v>
      </c>
      <c r="G8" s="52">
        <f>G2/'Revenue Analysis'!G2</f>
        <v>0.04430365444</v>
      </c>
      <c r="H8" s="52">
        <f>H2/'Revenue Analysis'!H2</f>
        <v>0.06139752568</v>
      </c>
      <c r="I8" s="52">
        <f>I2/'Revenue Analysis'!I2</f>
        <v>0.05406367521</v>
      </c>
      <c r="J8" s="52">
        <f>J2/'Revenue Analysis'!J2</f>
        <v>0.04149348024</v>
      </c>
      <c r="M8" s="71" t="s">
        <v>914</v>
      </c>
      <c r="N8" s="71">
        <v>645.0158</v>
      </c>
      <c r="O8" s="71">
        <v>915.63</v>
      </c>
      <c r="P8" s="71">
        <v>1416.8</v>
      </c>
      <c r="Q8" s="71">
        <v>1712.17</v>
      </c>
      <c r="R8" s="71">
        <v>2029.42</v>
      </c>
      <c r="S8" s="71">
        <v>2410.42</v>
      </c>
      <c r="T8" s="71">
        <v>2211.95</v>
      </c>
      <c r="U8" s="71">
        <v>2731.25</v>
      </c>
      <c r="V8" s="71">
        <v>3423.04</v>
      </c>
    </row>
    <row r="9">
      <c r="A9" s="32" t="s">
        <v>915</v>
      </c>
      <c r="B9" s="52">
        <f>B2/'Yearly Snapshot'!B5</f>
        <v>0.4724891641</v>
      </c>
      <c r="C9" s="52">
        <f>C2/'Yearly Snapshot'!C5</f>
        <v>0.5395463415</v>
      </c>
      <c r="D9" s="52">
        <f>D2/'Yearly Snapshot'!D5</f>
        <v>0.4937821297</v>
      </c>
      <c r="E9" s="52">
        <f>E2/'Yearly Snapshot'!E5</f>
        <v>0.6015695489</v>
      </c>
      <c r="F9" s="52">
        <f>F2/'Yearly Snapshot'!F5</f>
        <v>0.7880458453</v>
      </c>
      <c r="G9" s="52">
        <f>G2/'Yearly Snapshot'!G5</f>
        <v>0.548501199</v>
      </c>
      <c r="H9" s="52">
        <f>H2/'Yearly Snapshot'!H5</f>
        <v>0.7228002198</v>
      </c>
      <c r="I9" s="52">
        <f>I2/'Yearly Snapshot'!I5</f>
        <v>0.6687384316</v>
      </c>
      <c r="J9" s="52">
        <f>J2/'Yearly Snapshot'!J5</f>
        <v>0.5480574099</v>
      </c>
    </row>
    <row r="10">
      <c r="A10" s="32" t="s">
        <v>916</v>
      </c>
      <c r="B10" s="52">
        <f>B2/'Yearly Snapshot'!B15</f>
        <v>0.95582881</v>
      </c>
      <c r="C10" s="52">
        <f>C2/'Yearly Snapshot'!C15</f>
        <v>0.9057148883</v>
      </c>
      <c r="D10" s="52">
        <f>D2/'Yearly Snapshot'!D15</f>
        <v>0.8945011086</v>
      </c>
      <c r="E10" s="52">
        <f>E2/'Yearly Snapshot'!E15</f>
        <v>0.9839661799</v>
      </c>
      <c r="F10" s="52">
        <f>F2/'Yearly Snapshot'!F15</f>
        <v>1.251264786</v>
      </c>
      <c r="G10" s="52">
        <f>G2/'Yearly Snapshot'!G15</f>
        <v>0.91980563</v>
      </c>
      <c r="H10" s="52">
        <f>H2/'Yearly Snapshot'!H15</f>
        <v>1.106084945</v>
      </c>
      <c r="I10" s="52">
        <f>I2/'Yearly Snapshot'!I15</f>
        <v>1.082744479</v>
      </c>
      <c r="J10" s="52">
        <f>J2/'Yearly Snapshot'!J15</f>
        <v>0.9098522349</v>
      </c>
    </row>
    <row r="11">
      <c r="A11" s="32"/>
      <c r="B11" s="33"/>
      <c r="C11" s="33"/>
      <c r="D11" s="33"/>
      <c r="E11" s="33"/>
      <c r="F11" s="33"/>
      <c r="G11" s="33"/>
      <c r="H11" s="33"/>
      <c r="I11" s="33"/>
      <c r="J11" s="33"/>
    </row>
    <row r="12">
      <c r="A12" s="32" t="s">
        <v>917</v>
      </c>
      <c r="B12" s="33">
        <f t="shared" ref="B12:J12" si="3">B2-N8</f>
        <v>-187.1738</v>
      </c>
      <c r="C12" s="33">
        <f t="shared" si="3"/>
        <v>-185.6238</v>
      </c>
      <c r="D12" s="33">
        <f t="shared" si="3"/>
        <v>-609.96</v>
      </c>
      <c r="E12" s="33">
        <f t="shared" si="3"/>
        <v>-432.03</v>
      </c>
      <c r="F12" s="33">
        <f t="shared" si="3"/>
        <v>-654.28</v>
      </c>
      <c r="G12" s="33">
        <f t="shared" si="3"/>
        <v>-1038.07</v>
      </c>
      <c r="H12" s="33">
        <f t="shared" si="3"/>
        <v>418.32</v>
      </c>
      <c r="I12" s="33">
        <f t="shared" si="3"/>
        <v>14.59</v>
      </c>
      <c r="J12" s="33">
        <f t="shared" si="3"/>
        <v>-960.07</v>
      </c>
    </row>
    <row r="33">
      <c r="B33" s="54" t="s">
        <v>847</v>
      </c>
      <c r="G33" s="54"/>
    </row>
    <row r="34">
      <c r="A34" s="32" t="s">
        <v>794</v>
      </c>
      <c r="B34" s="41">
        <v>44256.0</v>
      </c>
      <c r="C34" s="41">
        <v>44621.0</v>
      </c>
      <c r="D34" s="41">
        <v>44986.0</v>
      </c>
      <c r="E34" s="41">
        <v>45352.0</v>
      </c>
      <c r="F34" s="42">
        <v>45717.0</v>
      </c>
    </row>
    <row r="35">
      <c r="A35" s="32" t="s">
        <v>908</v>
      </c>
      <c r="B35" s="55">
        <v>797.15</v>
      </c>
      <c r="C35" s="55">
        <v>1674.43</v>
      </c>
      <c r="D35" s="55">
        <v>9775.32</v>
      </c>
      <c r="E35" s="55">
        <v>30608.0</v>
      </c>
      <c r="F35" s="55">
        <v>21895.0</v>
      </c>
    </row>
    <row r="36">
      <c r="A36" s="32" t="s">
        <v>918</v>
      </c>
      <c r="B36" s="12">
        <f>B35/'Peers-Yearly'!B19</f>
        <v>0.1733311589</v>
      </c>
      <c r="C36" s="12">
        <f>C35/'Peers-Yearly'!C19</f>
        <v>0.339090725</v>
      </c>
      <c r="D36" s="12">
        <f>D35/'Peers-Yearly'!D19</f>
        <v>1.387554294</v>
      </c>
      <c r="E36" s="12">
        <f>E35/'Peers-Yearly'!E19</f>
        <v>3.448788732</v>
      </c>
      <c r="F36" s="12">
        <f>F35/'Peers-Yearly'!F19</f>
        <v>2.195427655</v>
      </c>
    </row>
    <row r="38">
      <c r="B38" s="54" t="s">
        <v>850</v>
      </c>
    </row>
    <row r="39">
      <c r="A39" s="32" t="s">
        <v>794</v>
      </c>
      <c r="B39" s="41">
        <v>44256.0</v>
      </c>
      <c r="C39" s="41">
        <v>44621.0</v>
      </c>
      <c r="D39" s="41">
        <v>44986.0</v>
      </c>
      <c r="E39" s="41">
        <v>45352.0</v>
      </c>
      <c r="F39" s="42">
        <v>45717.0</v>
      </c>
    </row>
    <row r="40">
      <c r="A40" s="32" t="s">
        <v>908</v>
      </c>
      <c r="B40" s="55">
        <v>1054.09</v>
      </c>
      <c r="C40" s="55">
        <v>657.08</v>
      </c>
      <c r="D40" s="55">
        <v>635.54</v>
      </c>
      <c r="E40" s="55">
        <v>829.6</v>
      </c>
      <c r="F40" s="55">
        <v>1399.068</v>
      </c>
    </row>
    <row r="41">
      <c r="A41" s="32" t="s">
        <v>918</v>
      </c>
      <c r="B41" s="12">
        <f>B40/'Peers-Yearly'!B41</f>
        <v>8.888523484</v>
      </c>
      <c r="C41" s="12">
        <f>C40/'Peers-Yearly'!C41</f>
        <v>3.240678635</v>
      </c>
      <c r="D41" s="12">
        <f>D40/'Peers-Yearly'!D41</f>
        <v>1.9781499</v>
      </c>
      <c r="E41" s="12">
        <f>E40/'Peers-Yearly'!E41</f>
        <v>1.795943108</v>
      </c>
      <c r="F41" s="12">
        <f>F40/'Peers-Yearly'!F41</f>
        <v>2.213785246</v>
      </c>
    </row>
    <row r="43">
      <c r="B43" s="54" t="s">
        <v>856</v>
      </c>
    </row>
    <row r="44">
      <c r="A44" s="32" t="s">
        <v>794</v>
      </c>
      <c r="B44" s="41">
        <v>44256.0</v>
      </c>
      <c r="C44" s="41">
        <v>44621.0</v>
      </c>
      <c r="D44" s="41">
        <v>44986.0</v>
      </c>
      <c r="E44" s="41">
        <v>45352.0</v>
      </c>
      <c r="F44" s="42">
        <v>45717.0</v>
      </c>
    </row>
    <row r="45">
      <c r="A45" s="32" t="s">
        <v>908</v>
      </c>
      <c r="B45" s="55">
        <v>149.2917</v>
      </c>
      <c r="C45" s="55">
        <v>-11.2523</v>
      </c>
      <c r="D45" s="55">
        <v>176.52</v>
      </c>
      <c r="E45" s="55">
        <v>385.89</v>
      </c>
      <c r="F45" s="55">
        <v>349.4</v>
      </c>
    </row>
    <row r="46">
      <c r="A46" s="32" t="s">
        <v>918</v>
      </c>
      <c r="B46" s="12">
        <f>B45/ABS('Peers-Yearly'!B63)</f>
        <v>24.11820679</v>
      </c>
      <c r="C46" s="12">
        <f>C45/ABS('Peers-Yearly'!C63)</f>
        <v>-0.9666924399</v>
      </c>
      <c r="D46" s="12">
        <f>D45/ABS('Peers-Yearly'!D63)</f>
        <v>30.12286689</v>
      </c>
      <c r="E46" s="12">
        <f>E45/ABS('Peers-Yearly'!E63)</f>
        <v>3.988114924</v>
      </c>
      <c r="F46" s="12">
        <f>F45/ABS('Peers-Yearly'!F63)</f>
        <v>16.27387052</v>
      </c>
    </row>
    <row r="49">
      <c r="F49" s="10"/>
      <c r="G49" s="10"/>
      <c r="H49" s="10"/>
      <c r="I49" s="10"/>
      <c r="J49" s="10"/>
    </row>
  </sheetData>
  <mergeCells count="3">
    <mergeCell ref="B33:F33"/>
    <mergeCell ref="B38:F38"/>
    <mergeCell ref="B43:F43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12" max="12" width="18.63"/>
  </cols>
  <sheetData>
    <row r="1">
      <c r="A1" s="32" t="s">
        <v>919</v>
      </c>
      <c r="B1" s="40">
        <v>42795.0</v>
      </c>
      <c r="C1" s="40">
        <v>43160.0</v>
      </c>
      <c r="D1" s="40">
        <v>43525.0</v>
      </c>
      <c r="E1" s="41">
        <v>43891.0</v>
      </c>
      <c r="F1" s="41">
        <v>44256.0</v>
      </c>
      <c r="G1" s="41">
        <v>44621.0</v>
      </c>
      <c r="H1" s="41">
        <v>44986.0</v>
      </c>
      <c r="I1" s="41">
        <v>45352.0</v>
      </c>
      <c r="J1" s="42">
        <v>45717.0</v>
      </c>
    </row>
    <row r="2">
      <c r="A2" s="34" t="s">
        <v>798</v>
      </c>
      <c r="B2" s="16">
        <v>0.08</v>
      </c>
      <c r="C2" s="16">
        <v>0.09</v>
      </c>
      <c r="D2" s="16">
        <v>0.08</v>
      </c>
      <c r="E2" s="16">
        <v>0.09</v>
      </c>
      <c r="F2" s="16">
        <v>0.07</v>
      </c>
      <c r="G2" s="16">
        <v>0.08</v>
      </c>
      <c r="H2" s="16">
        <v>0.08</v>
      </c>
      <c r="I2" s="16">
        <v>0.08</v>
      </c>
      <c r="J2" s="16">
        <v>0.08</v>
      </c>
    </row>
    <row r="3">
      <c r="A3" s="34" t="s">
        <v>920</v>
      </c>
      <c r="B3" s="12">
        <f>'Yearly Snapshot'!B15/'Yearly Snapshot'!B2</f>
        <v>0.04025886704</v>
      </c>
      <c r="C3" s="12">
        <f>'Yearly Snapshot'!C15/'Yearly Snapshot'!C2</f>
        <v>0.0536153795</v>
      </c>
      <c r="D3" s="12">
        <f>'Yearly Snapshot'!D15/'Yearly Snapshot'!D2</f>
        <v>0.04508872782</v>
      </c>
      <c r="E3" s="12">
        <f>'Yearly Snapshot'!E15/'Yearly Snapshot'!E2</f>
        <v>0.05231202252</v>
      </c>
      <c r="F3" s="12">
        <f>'Yearly Snapshot'!F15/'Yearly Snapshot'!F2</f>
        <v>0.04552044071</v>
      </c>
      <c r="G3" s="12">
        <f>'Yearly Snapshot'!G15/'Yearly Snapshot'!G2</f>
        <v>0.04816632231</v>
      </c>
      <c r="H3" s="12">
        <f>'Yearly Snapshot'!H15/'Yearly Snapshot'!H2</f>
        <v>0.05550887021</v>
      </c>
      <c r="I3" s="12">
        <f>'Yearly Snapshot'!I15/'Yearly Snapshot'!I2</f>
        <v>0.04993207191</v>
      </c>
      <c r="J3" s="12">
        <f>'Yearly Snapshot'!J15/'Yearly Snapshot'!J2</f>
        <v>0.04560463627</v>
      </c>
      <c r="N3" s="78">
        <v>42795.0</v>
      </c>
      <c r="O3" s="78">
        <v>43160.0</v>
      </c>
      <c r="P3" s="78">
        <v>43525.0</v>
      </c>
      <c r="Q3" s="78">
        <v>43891.0</v>
      </c>
      <c r="R3" s="78">
        <v>44256.0</v>
      </c>
      <c r="S3" s="78">
        <v>44621.0</v>
      </c>
      <c r="T3" s="78">
        <v>44986.0</v>
      </c>
      <c r="U3" s="78">
        <v>45352.0</v>
      </c>
      <c r="V3" s="78">
        <v>45717.0</v>
      </c>
    </row>
    <row r="4">
      <c r="A4" s="34" t="s">
        <v>921</v>
      </c>
      <c r="B4" s="12">
        <f>'Yearly Snapshot'!B13/'Yearly Snapshot'!B2</f>
        <v>0.06278366112</v>
      </c>
      <c r="C4" s="12">
        <f>'Yearly Snapshot'!C13/'Yearly Snapshot'!C2</f>
        <v>0.08128783343</v>
      </c>
      <c r="D4" s="12">
        <f>'Yearly Snapshot'!D13/'Yearly Snapshot'!D2</f>
        <v>0.07113221695</v>
      </c>
      <c r="E4" s="12">
        <f>'Yearly Snapshot'!E13/'Yearly Snapshot'!E2</f>
        <v>0.07016485726</v>
      </c>
      <c r="F4" s="12">
        <f>'Yearly Snapshot'!F13/'Yearly Snapshot'!F2</f>
        <v>0.06142567204</v>
      </c>
      <c r="G4" s="12">
        <f>'Yearly Snapshot'!G13/'Yearly Snapshot'!G2</f>
        <v>0.0666322314</v>
      </c>
      <c r="H4" s="12">
        <f>'Yearly Snapshot'!H13/'Yearly Snapshot'!H2</f>
        <v>0.0714519141</v>
      </c>
      <c r="I4" s="12">
        <f>'Yearly Snapshot'!I13/'Yearly Snapshot'!I2</f>
        <v>0.0681643663</v>
      </c>
      <c r="J4" s="12">
        <f>'Yearly Snapshot'!J13/'Yearly Snapshot'!J2</f>
        <v>0.06186192257</v>
      </c>
      <c r="L4" s="79"/>
      <c r="M4" s="67" t="s">
        <v>922</v>
      </c>
      <c r="N4" s="80">
        <v>637.85</v>
      </c>
      <c r="O4" s="80">
        <v>1324.8</v>
      </c>
      <c r="P4" s="80">
        <v>1471.1</v>
      </c>
      <c r="Q4" s="80">
        <v>2187.5</v>
      </c>
      <c r="R4" s="80">
        <v>2859.05</v>
      </c>
      <c r="S4" s="80">
        <v>4003.35</v>
      </c>
      <c r="T4" s="80">
        <v>3401.05</v>
      </c>
      <c r="U4" s="80">
        <v>4525.6</v>
      </c>
      <c r="V4" s="80">
        <v>4083.2</v>
      </c>
    </row>
    <row r="5">
      <c r="A5" s="34"/>
      <c r="L5" s="79"/>
      <c r="M5" s="81"/>
    </row>
    <row r="6">
      <c r="A6" s="32" t="s">
        <v>923</v>
      </c>
      <c r="L6" s="79"/>
      <c r="M6" s="81"/>
    </row>
    <row r="7">
      <c r="A7" s="34" t="s">
        <v>924</v>
      </c>
      <c r="B7" s="12">
        <f>'Yearly Snapshot'!B15/2681.11</f>
        <v>0.1786573471</v>
      </c>
      <c r="C7" s="12">
        <f>'Yearly Snapshot'!C15/((SUM('Balance Sheet'!B2:'Balance Sheet'!B3)+SUM('Balance Sheet'!C2:'Balance Sheet'!C3))/2)</f>
        <v>0.1894057336</v>
      </c>
      <c r="D7" s="12">
        <f>'Yearly Snapshot'!D15/((SUM('Balance Sheet'!C2:'Balance Sheet'!C3)+SUM('Balance Sheet'!D2:'Balance Sheet'!D3))/2)</f>
        <v>0.175888461</v>
      </c>
      <c r="E7" s="12">
        <f>'Yearly Snapshot'!E15/((SUM('Balance Sheet'!D2:'Balance Sheet'!D3)+SUM('Balance Sheet'!E2:'Balance Sheet'!E3))/2)</f>
        <v>0.156115098</v>
      </c>
      <c r="F7" s="12">
        <f>'Yearly Snapshot'!F15/((SUM('Balance Sheet'!E2:'Balance Sheet'!E3)+SUM('Balance Sheet'!F2:'Balance Sheet'!F3))/2)</f>
        <v>0.09448297651</v>
      </c>
      <c r="G7" s="12">
        <f>'Yearly Snapshot'!G15/((SUM('Balance Sheet'!F2:'Balance Sheet'!F3)+SUM('Balance Sheet'!G2:'Balance Sheet'!G3))/2)</f>
        <v>0.115384541</v>
      </c>
      <c r="H7" s="12">
        <f>'Yearly Snapshot'!H15/((SUM('Balance Sheet'!G2:'Balance Sheet'!G3)+SUM('Balance Sheet'!H2:'Balance Sheet'!H3))/2)</f>
        <v>0.1598314847</v>
      </c>
      <c r="I7" s="12">
        <f>'Yearly Snapshot'!I15/((SUM('Balance Sheet'!H2:'Balance Sheet'!H3)+SUM('Balance Sheet'!I2:'Balance Sheet'!I3))/2)</f>
        <v>0.1458455303</v>
      </c>
      <c r="J7" s="12">
        <f>'Yearly Snapshot'!J15/((SUM('Balance Sheet'!I2:'Balance Sheet'!I3)+SUM('Balance Sheet'!J2:'Balance Sheet'!J3))/2)</f>
        <v>0.1349263986</v>
      </c>
      <c r="L7" s="79"/>
      <c r="M7" s="81"/>
    </row>
    <row r="8">
      <c r="A8" s="34" t="s">
        <v>925</v>
      </c>
      <c r="B8" s="12">
        <f>'Yearly Snapshot'!B15/4462.03</f>
        <v>0.1073502419</v>
      </c>
      <c r="C8" s="12">
        <f>'Yearly Snapshot'!C15/(('Balance Sheet'!B19+'Balance Sheet'!C19)/2)</f>
        <v>0.1410099179</v>
      </c>
      <c r="D8" s="12">
        <f>'Yearly Snapshot'!D15/(('Balance Sheet'!C19+'Balance Sheet'!D19)/2)</f>
        <v>0.142968207</v>
      </c>
      <c r="E8" s="12">
        <f>'Yearly Snapshot'!E15/(('Balance Sheet'!D19+'Balance Sheet'!E19)/2)</f>
        <v>0.1363576574</v>
      </c>
      <c r="F8" s="12">
        <f>'Yearly Snapshot'!F15/(('Balance Sheet'!E19+'Balance Sheet'!F19)/2)</f>
        <v>0.08541753943</v>
      </c>
      <c r="G8" s="12">
        <f>'Yearly Snapshot'!G15/(('Balance Sheet'!F19+'Balance Sheet'!G19)/2)</f>
        <v>0.1024422381</v>
      </c>
      <c r="H8" s="12">
        <f>'Yearly Snapshot'!H15/(('Balance Sheet'!G19+'Balance Sheet'!H19)/2)</f>
        <v>0.1416364369</v>
      </c>
      <c r="I8" s="12">
        <f>'Yearly Snapshot'!I15/(('Balance Sheet'!H19+'Balance Sheet'!I19)/2)</f>
        <v>0.1291127647</v>
      </c>
      <c r="J8" s="12">
        <f>'Yearly Snapshot'!J15/(('Balance Sheet'!I19+'Balance Sheet'!J19)/2)</f>
        <v>0.1189955754</v>
      </c>
      <c r="L8" s="79"/>
      <c r="M8" s="81"/>
    </row>
    <row r="9">
      <c r="A9" s="34" t="s">
        <v>926</v>
      </c>
      <c r="B9" s="12">
        <f>'Yearly Snapshot'!B8/'Balance Sheet'!M8</f>
        <v>0.1725128205</v>
      </c>
      <c r="C9" s="12">
        <f>'Yearly Snapshot'!C8/'Balance Sheet'!N8</f>
        <v>0.2423617483</v>
      </c>
      <c r="D9" s="12">
        <f>'Yearly Snapshot'!D8/'Balance Sheet'!O8</f>
        <v>0.2460718488</v>
      </c>
      <c r="E9" s="12">
        <f>'Yearly Snapshot'!E8/'Balance Sheet'!P8</f>
        <v>0.1545285953</v>
      </c>
      <c r="F9" s="12">
        <f>'Yearly Snapshot'!F8/'Balance Sheet'!Q8</f>
        <v>0.1060540868</v>
      </c>
      <c r="G9" s="12">
        <f>'Yearly Snapshot'!G8/'Balance Sheet'!R8</f>
        <v>0.1405886624</v>
      </c>
      <c r="H9" s="12">
        <f>'Yearly Snapshot'!H8/'Balance Sheet'!S8</f>
        <v>0.1802962628</v>
      </c>
      <c r="I9" s="12">
        <f>'Yearly Snapshot'!I8/'Balance Sheet'!T8</f>
        <v>0.175799013</v>
      </c>
      <c r="J9" s="12">
        <f>'Yearly Snapshot'!J8/'Balance Sheet'!U8</f>
        <v>0.1639215981</v>
      </c>
      <c r="L9" s="79"/>
      <c r="M9" s="79"/>
      <c r="N9" s="82" t="s">
        <v>927</v>
      </c>
      <c r="T9" s="79"/>
    </row>
    <row r="10">
      <c r="A10" s="34"/>
      <c r="N10" s="41">
        <v>44256.0</v>
      </c>
      <c r="O10" s="41">
        <v>44621.0</v>
      </c>
      <c r="P10" s="41">
        <v>44986.0</v>
      </c>
      <c r="Q10" s="41">
        <v>45352.0</v>
      </c>
      <c r="R10" s="42">
        <v>45717.0</v>
      </c>
      <c r="T10" s="82"/>
    </row>
    <row r="11">
      <c r="A11" s="32" t="s">
        <v>928</v>
      </c>
      <c r="M11" s="34" t="s">
        <v>929</v>
      </c>
      <c r="N11" s="73">
        <v>9.603746397694524</v>
      </c>
      <c r="O11" s="73">
        <v>4.2995971802618325</v>
      </c>
      <c r="P11" s="73">
        <v>3.3650267652306907</v>
      </c>
      <c r="Q11" s="73">
        <v>3.6342447333034515</v>
      </c>
      <c r="R11" s="73">
        <v>3.7754497354497354</v>
      </c>
      <c r="T11" s="82"/>
    </row>
    <row r="12">
      <c r="A12" s="34" t="s">
        <v>930</v>
      </c>
      <c r="B12" s="73">
        <f>'Balance Sheet'!M19/'Balance Sheet'!M7</f>
        <v>3.154127177</v>
      </c>
      <c r="C12" s="73">
        <f>'Balance Sheet'!N19/'Balance Sheet'!N7</f>
        <v>2.875136672</v>
      </c>
      <c r="D12" s="73">
        <f>'Balance Sheet'!O19/'Balance Sheet'!O7</f>
        <v>1.697404884</v>
      </c>
      <c r="E12" s="73">
        <f>'Balance Sheet'!P19/'Balance Sheet'!P7</f>
        <v>3.234596308</v>
      </c>
      <c r="F12" s="73">
        <f>'Balance Sheet'!Q19/'Balance Sheet'!Q7</f>
        <v>3.672671532</v>
      </c>
      <c r="G12" s="73">
        <f>'Balance Sheet'!R19/'Balance Sheet'!R7</f>
        <v>2.825969186</v>
      </c>
      <c r="H12" s="73">
        <f>'Balance Sheet'!S19/'Balance Sheet'!S7</f>
        <v>3.713941964</v>
      </c>
      <c r="I12" s="73">
        <f>'Balance Sheet'!T19/'Balance Sheet'!T7</f>
        <v>3.133699486</v>
      </c>
      <c r="J12" s="73">
        <f>'Balance Sheet'!U19/'Balance Sheet'!U7</f>
        <v>2.889573991</v>
      </c>
      <c r="M12" s="34" t="s">
        <v>850</v>
      </c>
      <c r="N12" s="73">
        <v>1.2167951618115487</v>
      </c>
      <c r="O12" s="73">
        <v>2.054231166150671</v>
      </c>
      <c r="P12" s="73">
        <v>3.4639405204460934</v>
      </c>
      <c r="Q12" s="73">
        <v>5.095102069253816</v>
      </c>
      <c r="R12" s="73">
        <v>6.299932975871316</v>
      </c>
      <c r="T12" s="82"/>
    </row>
    <row r="13">
      <c r="A13" s="34" t="s">
        <v>931</v>
      </c>
      <c r="B13" s="73">
        <f>'Balance Sheet'!B7/'Balance Sheet'!M12</f>
        <v>1.514753578</v>
      </c>
      <c r="C13" s="73">
        <f>'Balance Sheet'!C7/'Balance Sheet'!N12</f>
        <v>1.202058235</v>
      </c>
      <c r="D13" s="73">
        <f>'Balance Sheet'!D7/'Balance Sheet'!O12</f>
        <v>1.253831354</v>
      </c>
      <c r="E13" s="73">
        <f>'Balance Sheet'!E7/'Balance Sheet'!P12</f>
        <v>1.089957887</v>
      </c>
      <c r="F13" s="73">
        <f>'Balance Sheet'!F7/'Balance Sheet'!Q12</f>
        <v>1.120838398</v>
      </c>
      <c r="G13" s="73">
        <f>'Balance Sheet'!G7/'Balance Sheet'!R12</f>
        <v>1.13123609</v>
      </c>
      <c r="H13" s="73">
        <f>'Balance Sheet'!H7/'Balance Sheet'!S12</f>
        <v>1.1261041</v>
      </c>
      <c r="I13" s="73">
        <f>'Balance Sheet'!I7/'Balance Sheet'!T12</f>
        <v>1.132602624</v>
      </c>
      <c r="J13" s="73">
        <f>'Balance Sheet'!J7/'Balance Sheet'!U12</f>
        <v>1.134989845</v>
      </c>
      <c r="M13" s="34" t="s">
        <v>856</v>
      </c>
      <c r="N13" s="73">
        <v>0.4794706481167312</v>
      </c>
      <c r="O13" s="73">
        <v>0.954009586734035</v>
      </c>
      <c r="P13" s="73">
        <v>0.7778633136600811</v>
      </c>
      <c r="Q13" s="73">
        <v>-0.06377748121093114</v>
      </c>
      <c r="R13" s="73">
        <v>1.0552542869705424</v>
      </c>
      <c r="T13" s="82"/>
    </row>
    <row r="14">
      <c r="A14" s="34" t="s">
        <v>927</v>
      </c>
      <c r="B14" s="73">
        <f>'Yearly Snapshot'!B8/'Yearly Snapshot'!B10</f>
        <v>6.893442623</v>
      </c>
      <c r="C14" s="73">
        <f>'Yearly Snapshot'!C8/'Yearly Snapshot'!C10</f>
        <v>19.9</v>
      </c>
      <c r="D14" s="73">
        <f>'Yearly Snapshot'!D8/'Yearly Snapshot'!D10</f>
        <v>30.25531915</v>
      </c>
      <c r="E14" s="73">
        <f>'Yearly Snapshot'!E8/'Yearly Snapshot'!E10</f>
        <v>25.42028986</v>
      </c>
      <c r="F14" s="73">
        <f>'Yearly Snapshot'!F8/'Yearly Snapshot'!F10</f>
        <v>31.69047619</v>
      </c>
      <c r="G14" s="73">
        <f>'Yearly Snapshot'!G8/'Yearly Snapshot'!G10</f>
        <v>37.11111111</v>
      </c>
      <c r="H14" s="73">
        <f>'Yearly Snapshot'!H8/'Yearly Snapshot'!H10</f>
        <v>44.7761194</v>
      </c>
      <c r="I14" s="73">
        <f>'Yearly Snapshot'!I8/'Yearly Snapshot'!I10</f>
        <v>58.18965517</v>
      </c>
      <c r="J14" s="73">
        <f>'Yearly Snapshot'!J8/'Yearly Snapshot'!J10</f>
        <v>52.52173913</v>
      </c>
      <c r="T14" s="82"/>
    </row>
    <row r="15">
      <c r="A15" s="34"/>
      <c r="M15" s="79"/>
      <c r="N15" s="82" t="s">
        <v>924</v>
      </c>
    </row>
    <row r="16">
      <c r="A16" s="32" t="s">
        <v>932</v>
      </c>
      <c r="L16" s="49"/>
      <c r="N16" s="41">
        <v>44256.0</v>
      </c>
      <c r="O16" s="41">
        <v>44621.0</v>
      </c>
      <c r="P16" s="41">
        <v>44986.0</v>
      </c>
      <c r="Q16" s="41">
        <v>45352.0</v>
      </c>
      <c r="R16" s="42">
        <v>45717.0</v>
      </c>
    </row>
    <row r="17">
      <c r="A17" s="34" t="s">
        <v>933</v>
      </c>
      <c r="B17" s="75">
        <f>N4/'Yearly Snapshot'!B17</f>
        <v>83.16166884</v>
      </c>
      <c r="C17" s="75">
        <f>O4/'Yearly Snapshot'!C17</f>
        <v>102.5386997</v>
      </c>
      <c r="D17" s="75">
        <f>P4/'Yearly Snapshot'!D17</f>
        <v>101.735823</v>
      </c>
      <c r="E17" s="75">
        <f>Q4/'Yearly Snapshot'!E17</f>
        <v>108.8850174</v>
      </c>
      <c r="F17" s="75">
        <f>R4/'Yearly Snapshot'!F17</f>
        <v>168.4767236</v>
      </c>
      <c r="G17" s="75">
        <f>S4/'Yearly Snapshot'!G17</f>
        <v>173.7565104</v>
      </c>
      <c r="H17" s="75">
        <f>T4/'Yearly Snapshot'!H17</f>
        <v>92.69692014</v>
      </c>
      <c r="I17" s="75">
        <f>U4/'Yearly Snapshot'!I17</f>
        <v>116.1303567</v>
      </c>
      <c r="J17" s="75">
        <f>V4/'Yearly Snapshot'!J17</f>
        <v>98.13025715</v>
      </c>
      <c r="M17" s="34" t="s">
        <v>929</v>
      </c>
      <c r="N17" s="12"/>
      <c r="O17" s="12">
        <v>0.17674658502010054</v>
      </c>
      <c r="P17" s="12">
        <v>0.2083270495153032</v>
      </c>
      <c r="Q17" s="12">
        <v>0.21567960339254902</v>
      </c>
      <c r="R17" s="12">
        <v>0.1423412879652889</v>
      </c>
    </row>
    <row r="18">
      <c r="A18" s="34" t="s">
        <v>934</v>
      </c>
      <c r="B18" s="75">
        <v>38.67</v>
      </c>
      <c r="C18" s="75">
        <v>58.02</v>
      </c>
      <c r="D18" s="75">
        <v>54.68</v>
      </c>
      <c r="E18" s="75">
        <v>65.1</v>
      </c>
      <c r="F18" s="75">
        <v>94.59</v>
      </c>
      <c r="G18" s="75">
        <v>98.92</v>
      </c>
      <c r="H18" s="75">
        <v>58.2</v>
      </c>
      <c r="I18" s="75">
        <v>69.2</v>
      </c>
      <c r="J18" s="75">
        <v>57.47</v>
      </c>
      <c r="M18" s="34" t="s">
        <v>850</v>
      </c>
      <c r="N18" s="12"/>
      <c r="O18" s="12">
        <v>0.04307695576198899</v>
      </c>
      <c r="P18" s="12">
        <v>0.06437670632435807</v>
      </c>
      <c r="Q18" s="12">
        <v>0.08571791748121857</v>
      </c>
      <c r="R18" s="12">
        <v>0.10512745443778325</v>
      </c>
    </row>
    <row r="19">
      <c r="A19" s="34" t="s">
        <v>935</v>
      </c>
      <c r="B19" s="75">
        <v>10.36</v>
      </c>
      <c r="C19" s="75">
        <v>17.74</v>
      </c>
      <c r="D19" s="75">
        <v>16.42</v>
      </c>
      <c r="E19" s="75">
        <v>12.87</v>
      </c>
      <c r="F19" s="75">
        <v>15.17</v>
      </c>
      <c r="G19" s="75">
        <v>18.94</v>
      </c>
      <c r="H19" s="75">
        <v>13.72</v>
      </c>
      <c r="I19" s="75">
        <v>15.76</v>
      </c>
      <c r="J19" s="75">
        <v>12.38</v>
      </c>
      <c r="M19" s="34" t="s">
        <v>856</v>
      </c>
      <c r="N19" s="12"/>
      <c r="O19" s="12">
        <v>0.013900001194158367</v>
      </c>
      <c r="P19" s="12">
        <v>-0.006899799835158265</v>
      </c>
      <c r="Q19" s="12">
        <v>-0.12125389256824952</v>
      </c>
      <c r="R19" s="12">
        <v>0.027575666112242356</v>
      </c>
    </row>
    <row r="20">
      <c r="A20" s="34" t="s">
        <v>936</v>
      </c>
      <c r="B20" s="75">
        <v>3.35</v>
      </c>
      <c r="C20" s="75">
        <v>5.51</v>
      </c>
      <c r="D20" s="75">
        <v>4.59</v>
      </c>
      <c r="E20" s="75">
        <v>5.73</v>
      </c>
      <c r="F20" s="75">
        <v>7.66</v>
      </c>
      <c r="G20" s="75">
        <v>8.36</v>
      </c>
      <c r="H20" s="75">
        <v>5.15</v>
      </c>
      <c r="I20" s="75">
        <v>5.8</v>
      </c>
      <c r="J20" s="75">
        <v>4.47</v>
      </c>
    </row>
    <row r="21">
      <c r="M21" s="79"/>
      <c r="N21" s="82" t="s">
        <v>926</v>
      </c>
    </row>
    <row r="22">
      <c r="G22" s="48"/>
      <c r="N22" s="41">
        <v>44256.0</v>
      </c>
      <c r="O22" s="41">
        <v>44621.0</v>
      </c>
      <c r="P22" s="41">
        <v>44986.0</v>
      </c>
      <c r="Q22" s="41">
        <v>45352.0</v>
      </c>
      <c r="R22" s="42">
        <v>45717.0</v>
      </c>
    </row>
    <row r="23">
      <c r="B23" s="49"/>
      <c r="D23" s="83"/>
      <c r="E23" s="83"/>
      <c r="F23" s="83"/>
      <c r="G23" s="83"/>
      <c r="H23" s="48"/>
      <c r="M23" s="34" t="s">
        <v>929</v>
      </c>
      <c r="N23" s="12">
        <v>0.26173620838678996</v>
      </c>
      <c r="O23" s="12">
        <v>0.280776955442647</v>
      </c>
      <c r="P23" s="12">
        <v>0.35465584869163397</v>
      </c>
      <c r="Q23" s="12">
        <v>0.3597479811873281</v>
      </c>
      <c r="R23" s="12">
        <v>0.18767621933257586</v>
      </c>
    </row>
    <row r="24">
      <c r="B24" s="83"/>
      <c r="C24" s="83"/>
      <c r="D24" s="83"/>
      <c r="E24" s="83"/>
      <c r="F24" s="83"/>
      <c r="G24" s="83"/>
      <c r="H24" s="83"/>
      <c r="I24" s="83"/>
      <c r="J24" s="83"/>
      <c r="M24" s="34" t="s">
        <v>850</v>
      </c>
      <c r="N24" s="12">
        <v>0.057439176408030104</v>
      </c>
      <c r="O24" s="12">
        <v>0.08250693757940136</v>
      </c>
      <c r="P24" s="12">
        <v>0.10843121130781513</v>
      </c>
      <c r="Q24" s="12">
        <v>0.13008219743393168</v>
      </c>
      <c r="R24" s="12">
        <v>0.14683759054815518</v>
      </c>
    </row>
    <row r="25">
      <c r="F25" s="48"/>
      <c r="M25" s="34" t="s">
        <v>856</v>
      </c>
      <c r="N25" s="12">
        <v>0.03424541334432046</v>
      </c>
      <c r="O25" s="12">
        <v>0.08667608286252372</v>
      </c>
      <c r="P25" s="12">
        <v>0.10711425206124862</v>
      </c>
      <c r="Q25" s="12">
        <v>-0.012155450541506938</v>
      </c>
      <c r="R25" s="12">
        <v>0.1777382803821376</v>
      </c>
    </row>
    <row r="26">
      <c r="B26" s="49"/>
    </row>
    <row r="28">
      <c r="A28" s="84"/>
      <c r="B28" s="16"/>
      <c r="C28" s="12"/>
      <c r="D28" s="12"/>
      <c r="G28" s="12"/>
      <c r="H28" s="12"/>
      <c r="I28" s="12"/>
      <c r="L28" s="73"/>
      <c r="M28" s="73"/>
      <c r="N28" s="73"/>
      <c r="Q28" s="75"/>
      <c r="R28" s="75"/>
      <c r="S28" s="75"/>
      <c r="T28" s="75"/>
    </row>
    <row r="29">
      <c r="A29" s="84"/>
      <c r="B29" s="16"/>
      <c r="C29" s="12"/>
      <c r="D29" s="12"/>
      <c r="G29" s="12"/>
      <c r="H29" s="12"/>
      <c r="I29" s="12"/>
      <c r="L29" s="73"/>
      <c r="M29" s="73"/>
      <c r="N29" s="73"/>
      <c r="Q29" s="75"/>
      <c r="R29" s="75"/>
      <c r="S29" s="75"/>
      <c r="T29" s="75"/>
    </row>
    <row r="30">
      <c r="A30" s="84"/>
      <c r="B30" s="16"/>
      <c r="C30" s="12"/>
      <c r="D30" s="12"/>
      <c r="G30" s="12"/>
      <c r="H30" s="12"/>
      <c r="I30" s="12"/>
      <c r="L30" s="73"/>
      <c r="M30" s="73"/>
      <c r="N30" s="73"/>
      <c r="Q30" s="75"/>
      <c r="R30" s="75"/>
      <c r="S30" s="75"/>
      <c r="T30" s="75"/>
    </row>
    <row r="31">
      <c r="A31" s="85"/>
      <c r="B31" s="16"/>
      <c r="C31" s="12"/>
      <c r="D31" s="12"/>
      <c r="G31" s="12"/>
      <c r="H31" s="12"/>
      <c r="I31" s="12"/>
      <c r="L31" s="73"/>
      <c r="M31" s="73"/>
      <c r="N31" s="73"/>
      <c r="Q31" s="75"/>
      <c r="R31" s="75"/>
      <c r="S31" s="75"/>
      <c r="T31" s="75"/>
    </row>
    <row r="32">
      <c r="A32" s="85"/>
      <c r="B32" s="16"/>
      <c r="C32" s="12"/>
      <c r="D32" s="12"/>
      <c r="G32" s="12"/>
      <c r="H32" s="12"/>
      <c r="I32" s="12"/>
      <c r="L32" s="73"/>
      <c r="M32" s="73"/>
      <c r="N32" s="73"/>
      <c r="Q32" s="75"/>
      <c r="R32" s="75"/>
      <c r="S32" s="75"/>
      <c r="T32" s="75"/>
    </row>
    <row r="33">
      <c r="A33" s="85"/>
      <c r="B33" s="16"/>
      <c r="C33" s="12"/>
      <c r="D33" s="12"/>
      <c r="G33" s="12"/>
      <c r="H33" s="12"/>
      <c r="I33" s="12"/>
      <c r="L33" s="73"/>
      <c r="M33" s="73"/>
      <c r="N33" s="73"/>
      <c r="Q33" s="75"/>
      <c r="R33" s="75"/>
      <c r="S33" s="75"/>
      <c r="T33" s="75"/>
    </row>
    <row r="34">
      <c r="A34" s="85"/>
      <c r="B34" s="16"/>
      <c r="C34" s="12"/>
      <c r="D34" s="12"/>
      <c r="G34" s="12"/>
      <c r="H34" s="12"/>
      <c r="I34" s="12"/>
      <c r="L34" s="73"/>
      <c r="M34" s="73"/>
      <c r="N34" s="73"/>
      <c r="Q34" s="75"/>
      <c r="R34" s="75"/>
      <c r="S34" s="75"/>
      <c r="T34" s="75"/>
    </row>
    <row r="35">
      <c r="A35" s="85"/>
      <c r="B35" s="16"/>
      <c r="C35" s="12"/>
      <c r="D35" s="12"/>
      <c r="G35" s="12"/>
      <c r="H35" s="12"/>
      <c r="I35" s="12"/>
      <c r="L35" s="73"/>
      <c r="M35" s="73"/>
      <c r="N35" s="73"/>
      <c r="Q35" s="75"/>
      <c r="R35" s="75"/>
      <c r="S35" s="75"/>
      <c r="T35" s="75"/>
    </row>
    <row r="36">
      <c r="A36" s="86"/>
      <c r="B36" s="16"/>
      <c r="C36" s="12"/>
      <c r="D36" s="12"/>
      <c r="G36" s="12"/>
      <c r="H36" s="12"/>
      <c r="I36" s="12"/>
      <c r="L36" s="73"/>
      <c r="M36" s="73"/>
      <c r="N36" s="73"/>
      <c r="Q36" s="75"/>
      <c r="R36" s="75"/>
      <c r="S36" s="75"/>
      <c r="T36" s="75"/>
    </row>
    <row r="60">
      <c r="B60" s="84"/>
      <c r="C60" s="84"/>
      <c r="D60" s="84"/>
      <c r="E60" s="85"/>
      <c r="F60" s="85"/>
      <c r="G60" s="85"/>
      <c r="H60" s="85"/>
      <c r="I60" s="85"/>
      <c r="J60" s="86"/>
    </row>
    <row r="61">
      <c r="B61" s="16"/>
      <c r="C61" s="16"/>
      <c r="D61" s="16"/>
      <c r="E61" s="16"/>
      <c r="F61" s="16"/>
      <c r="G61" s="16"/>
      <c r="H61" s="16"/>
      <c r="I61" s="16"/>
      <c r="J61" s="16"/>
    </row>
    <row r="62">
      <c r="B62" s="12"/>
      <c r="C62" s="12"/>
      <c r="D62" s="12"/>
      <c r="E62" s="12"/>
      <c r="F62" s="12"/>
      <c r="G62" s="12"/>
      <c r="H62" s="12"/>
      <c r="I62" s="12"/>
      <c r="J62" s="12"/>
    </row>
    <row r="63">
      <c r="B63" s="12"/>
      <c r="C63" s="12"/>
      <c r="D63" s="12"/>
      <c r="E63" s="12"/>
      <c r="F63" s="12"/>
      <c r="G63" s="12"/>
      <c r="H63" s="12"/>
      <c r="I63" s="12"/>
      <c r="J63" s="12"/>
    </row>
    <row r="66">
      <c r="B66" s="12"/>
      <c r="C66" s="12"/>
      <c r="D66" s="12"/>
      <c r="E66" s="12"/>
      <c r="F66" s="12"/>
      <c r="G66" s="12"/>
      <c r="H66" s="12"/>
      <c r="I66" s="12"/>
      <c r="J66" s="12"/>
    </row>
    <row r="67">
      <c r="B67" s="12"/>
      <c r="C67" s="12"/>
      <c r="D67" s="12"/>
      <c r="E67" s="12"/>
      <c r="F67" s="12"/>
      <c r="G67" s="12"/>
      <c r="H67" s="12"/>
      <c r="I67" s="12"/>
      <c r="J67" s="12"/>
    </row>
    <row r="68">
      <c r="B68" s="12"/>
      <c r="C68" s="12"/>
      <c r="D68" s="12"/>
      <c r="E68" s="12"/>
      <c r="F68" s="12"/>
      <c r="G68" s="12"/>
      <c r="H68" s="12"/>
      <c r="I68" s="12"/>
      <c r="J68" s="12"/>
    </row>
    <row r="71">
      <c r="B71" s="73"/>
      <c r="C71" s="73"/>
      <c r="D71" s="73"/>
      <c r="E71" s="73"/>
      <c r="F71" s="73"/>
      <c r="G71" s="73"/>
      <c r="H71" s="73"/>
      <c r="I71" s="73"/>
      <c r="J71" s="73"/>
    </row>
    <row r="72">
      <c r="B72" s="73"/>
      <c r="C72" s="73"/>
      <c r="D72" s="73"/>
      <c r="E72" s="73"/>
      <c r="F72" s="73"/>
      <c r="G72" s="73"/>
      <c r="H72" s="73"/>
      <c r="I72" s="73"/>
      <c r="J72" s="73"/>
    </row>
    <row r="73">
      <c r="B73" s="73"/>
      <c r="C73" s="73"/>
      <c r="D73" s="73"/>
      <c r="E73" s="73"/>
      <c r="F73" s="73"/>
      <c r="G73" s="73"/>
      <c r="H73" s="73"/>
      <c r="I73" s="73"/>
      <c r="J73" s="73"/>
    </row>
    <row r="76">
      <c r="B76" s="75"/>
      <c r="C76" s="75"/>
      <c r="D76" s="75"/>
      <c r="E76" s="75"/>
      <c r="F76" s="75"/>
      <c r="G76" s="75"/>
      <c r="H76" s="75"/>
      <c r="I76" s="75"/>
      <c r="J76" s="75"/>
    </row>
    <row r="77">
      <c r="B77" s="75"/>
      <c r="C77" s="75"/>
      <c r="D77" s="75"/>
      <c r="E77" s="75"/>
      <c r="F77" s="75"/>
      <c r="G77" s="75"/>
      <c r="H77" s="75"/>
      <c r="I77" s="75"/>
      <c r="J77" s="75"/>
    </row>
    <row r="78">
      <c r="B78" s="75"/>
      <c r="C78" s="75"/>
      <c r="D78" s="75"/>
      <c r="E78" s="75"/>
      <c r="F78" s="75"/>
      <c r="G78" s="75"/>
      <c r="H78" s="75"/>
      <c r="I78" s="75"/>
      <c r="J78" s="75"/>
    </row>
    <row r="79">
      <c r="B79" s="75"/>
      <c r="C79" s="75"/>
      <c r="D79" s="75"/>
      <c r="E79" s="75"/>
      <c r="F79" s="75"/>
      <c r="G79" s="75"/>
      <c r="H79" s="75"/>
      <c r="I79" s="75"/>
      <c r="J79" s="75"/>
    </row>
  </sheetData>
  <mergeCells count="3">
    <mergeCell ref="N9:R9"/>
    <mergeCell ref="N15:R15"/>
    <mergeCell ref="N21:R21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</cols>
  <sheetData>
    <row r="1">
      <c r="B1" s="54" t="s">
        <v>924</v>
      </c>
      <c r="M1" s="84"/>
      <c r="N1" s="84"/>
      <c r="O1" s="84"/>
      <c r="P1" s="85"/>
      <c r="Q1" s="85"/>
      <c r="R1" s="85"/>
      <c r="S1" s="85"/>
      <c r="T1" s="85"/>
      <c r="U1" s="86"/>
    </row>
    <row r="2">
      <c r="A2" s="32" t="s">
        <v>794</v>
      </c>
      <c r="B2" s="40">
        <v>42795.0</v>
      </c>
      <c r="C2" s="40">
        <v>43160.0</v>
      </c>
      <c r="D2" s="40">
        <v>43525.0</v>
      </c>
      <c r="E2" s="41">
        <v>43891.0</v>
      </c>
      <c r="F2" s="41">
        <v>44256.0</v>
      </c>
      <c r="G2" s="41">
        <v>44621.0</v>
      </c>
      <c r="H2" s="41">
        <v>44986.0</v>
      </c>
      <c r="I2" s="41">
        <v>45352.0</v>
      </c>
      <c r="J2" s="42">
        <v>45717.0</v>
      </c>
    </row>
    <row r="3">
      <c r="A3" s="32" t="s">
        <v>799</v>
      </c>
      <c r="B3" s="39">
        <v>479.0</v>
      </c>
      <c r="C3" s="39">
        <v>806.0</v>
      </c>
      <c r="D3" s="39">
        <v>902.0</v>
      </c>
      <c r="E3" s="33">
        <v>1301.0</v>
      </c>
      <c r="F3" s="33">
        <v>1099.0</v>
      </c>
      <c r="G3" s="33">
        <v>1492.0</v>
      </c>
      <c r="H3" s="33">
        <v>2378.0</v>
      </c>
      <c r="I3" s="33">
        <v>2536.0</v>
      </c>
      <c r="J3" s="33">
        <v>2707.0</v>
      </c>
      <c r="L3" s="84"/>
      <c r="N3" s="55"/>
      <c r="O3" s="12"/>
      <c r="Q3" s="55"/>
      <c r="R3" s="55"/>
      <c r="S3" s="73"/>
      <c r="U3" s="55"/>
      <c r="V3" s="55"/>
      <c r="W3" s="77"/>
      <c r="Y3" s="12"/>
    </row>
    <row r="4">
      <c r="A4" s="32" t="s">
        <v>937</v>
      </c>
      <c r="B4" s="33">
        <v>624.08</v>
      </c>
      <c r="C4" s="33">
        <v>624.08</v>
      </c>
      <c r="D4" s="55">
        <v>624.08</v>
      </c>
      <c r="E4" s="55">
        <v>647.77</v>
      </c>
      <c r="F4" s="55">
        <v>647.77</v>
      </c>
      <c r="G4" s="33">
        <v>647.77</v>
      </c>
      <c r="H4" s="33">
        <v>648.26</v>
      </c>
      <c r="I4" s="33">
        <v>650.73</v>
      </c>
      <c r="J4" s="33">
        <v>650.73</v>
      </c>
      <c r="L4" s="84"/>
      <c r="N4" s="55"/>
      <c r="O4" s="12"/>
      <c r="Q4" s="55"/>
      <c r="R4" s="55"/>
      <c r="S4" s="73"/>
      <c r="U4" s="55"/>
      <c r="V4" s="55"/>
      <c r="W4" s="77"/>
      <c r="Y4" s="12"/>
    </row>
    <row r="5">
      <c r="A5" s="32" t="s">
        <v>858</v>
      </c>
      <c r="B5" s="33">
        <v>3217.7</v>
      </c>
      <c r="C5" s="33">
        <v>4044.97</v>
      </c>
      <c r="D5" s="55">
        <v>4963.37</v>
      </c>
      <c r="E5" s="55">
        <v>10431.97</v>
      </c>
      <c r="F5" s="33">
        <v>11535.94</v>
      </c>
      <c r="G5" s="33">
        <v>13029.87</v>
      </c>
      <c r="H5" s="33">
        <v>15430.44</v>
      </c>
      <c r="I5" s="33">
        <v>18047.09</v>
      </c>
      <c r="J5" s="33">
        <v>20777.03</v>
      </c>
      <c r="L5" s="84"/>
      <c r="N5" s="55"/>
      <c r="O5" s="12"/>
      <c r="Q5" s="55"/>
      <c r="R5" s="55"/>
      <c r="S5" s="73"/>
      <c r="U5" s="55"/>
      <c r="V5" s="55"/>
      <c r="W5" s="77"/>
      <c r="Y5" s="12"/>
    </row>
    <row r="6">
      <c r="A6" s="32" t="s">
        <v>938</v>
      </c>
      <c r="B6" s="33">
        <f>(624.08+3217.7+561.54+58.89)/2</f>
        <v>2231.105</v>
      </c>
      <c r="C6" s="33">
        <f t="shared" ref="C6:J6" si="1">(SUM(B4:B5)+SUM(C4:C5))/2</f>
        <v>4255.415</v>
      </c>
      <c r="D6" s="33">
        <f t="shared" si="1"/>
        <v>5128.25</v>
      </c>
      <c r="E6" s="33">
        <f t="shared" si="1"/>
        <v>8333.595</v>
      </c>
      <c r="F6" s="33">
        <f t="shared" si="1"/>
        <v>11631.725</v>
      </c>
      <c r="G6" s="33">
        <f t="shared" si="1"/>
        <v>12930.675</v>
      </c>
      <c r="H6" s="33">
        <f t="shared" si="1"/>
        <v>14878.17</v>
      </c>
      <c r="I6" s="33">
        <f t="shared" si="1"/>
        <v>17388.26</v>
      </c>
      <c r="J6" s="33">
        <f t="shared" si="1"/>
        <v>20062.79</v>
      </c>
      <c r="L6" s="85"/>
      <c r="M6" s="55"/>
      <c r="N6" s="55"/>
      <c r="O6" s="12"/>
      <c r="Q6" s="55"/>
      <c r="R6" s="55"/>
      <c r="S6" s="73"/>
      <c r="U6" s="55"/>
      <c r="V6" s="55"/>
      <c r="W6" s="77"/>
      <c r="Y6" s="12"/>
    </row>
    <row r="7">
      <c r="A7" s="32" t="s">
        <v>924</v>
      </c>
      <c r="B7" s="12">
        <f t="shared" ref="B7:J7" si="2">B3/B6</f>
        <v>0.2146918231</v>
      </c>
      <c r="C7" s="12">
        <f t="shared" si="2"/>
        <v>0.1894057336</v>
      </c>
      <c r="D7" s="12">
        <f t="shared" si="2"/>
        <v>0.175888461</v>
      </c>
      <c r="E7" s="12">
        <f t="shared" si="2"/>
        <v>0.156115098</v>
      </c>
      <c r="F7" s="12">
        <f t="shared" si="2"/>
        <v>0.09448297651</v>
      </c>
      <c r="G7" s="12">
        <f t="shared" si="2"/>
        <v>0.115384541</v>
      </c>
      <c r="H7" s="12">
        <f t="shared" si="2"/>
        <v>0.1598314847</v>
      </c>
      <c r="I7" s="12">
        <f t="shared" si="2"/>
        <v>0.1458455303</v>
      </c>
      <c r="J7" s="12">
        <f t="shared" si="2"/>
        <v>0.1349263986</v>
      </c>
      <c r="L7" s="85"/>
      <c r="M7" s="55"/>
      <c r="N7" s="55"/>
      <c r="O7" s="12"/>
      <c r="Q7" s="55"/>
      <c r="R7" s="55"/>
      <c r="S7" s="73"/>
      <c r="U7" s="55"/>
      <c r="V7" s="55"/>
      <c r="W7" s="77"/>
      <c r="Y7" s="12"/>
    </row>
    <row r="8">
      <c r="L8" s="85"/>
      <c r="M8" s="55"/>
      <c r="N8" s="55"/>
      <c r="O8" s="12"/>
      <c r="Q8" s="55"/>
      <c r="R8" s="55"/>
      <c r="S8" s="73"/>
      <c r="U8" s="55"/>
      <c r="V8" s="55"/>
      <c r="W8" s="77"/>
      <c r="Y8" s="12"/>
    </row>
    <row r="9">
      <c r="B9" s="54" t="s">
        <v>939</v>
      </c>
      <c r="L9" s="85"/>
      <c r="M9" s="55"/>
      <c r="N9" s="55"/>
      <c r="O9" s="12"/>
      <c r="Q9" s="55"/>
      <c r="R9" s="55"/>
      <c r="S9" s="73"/>
      <c r="U9" s="55"/>
      <c r="V9" s="55"/>
      <c r="W9" s="77"/>
      <c r="Y9" s="12"/>
    </row>
    <row r="10">
      <c r="A10" s="32" t="s">
        <v>794</v>
      </c>
      <c r="B10" s="40">
        <v>42795.0</v>
      </c>
      <c r="C10" s="40">
        <v>43160.0</v>
      </c>
      <c r="D10" s="40">
        <v>43525.0</v>
      </c>
      <c r="E10" s="41">
        <v>43891.0</v>
      </c>
      <c r="F10" s="41">
        <v>44256.0</v>
      </c>
      <c r="G10" s="41">
        <v>44621.0</v>
      </c>
      <c r="H10" s="41">
        <v>44986.0</v>
      </c>
      <c r="I10" s="41">
        <v>45352.0</v>
      </c>
      <c r="J10" s="42">
        <v>45717.0</v>
      </c>
      <c r="L10" s="85"/>
      <c r="M10" s="55"/>
      <c r="N10" s="55"/>
      <c r="O10" s="12"/>
      <c r="Q10" s="55"/>
      <c r="R10" s="55"/>
      <c r="S10" s="73"/>
      <c r="U10" s="55"/>
      <c r="V10" s="55"/>
      <c r="W10" s="77"/>
      <c r="Y10" s="12"/>
    </row>
    <row r="11">
      <c r="A11" s="32" t="s">
        <v>799</v>
      </c>
      <c r="B11" s="39">
        <v>479.0</v>
      </c>
      <c r="C11" s="39">
        <v>806.0</v>
      </c>
      <c r="D11" s="39">
        <v>902.0</v>
      </c>
      <c r="E11" s="33">
        <v>1301.0</v>
      </c>
      <c r="F11" s="33">
        <v>1099.0</v>
      </c>
      <c r="G11" s="33">
        <v>1492.0</v>
      </c>
      <c r="H11" s="33">
        <v>2378.0</v>
      </c>
      <c r="I11" s="33">
        <v>2536.0</v>
      </c>
      <c r="J11" s="33">
        <v>2707.0</v>
      </c>
      <c r="L11" s="86"/>
      <c r="M11" s="55"/>
      <c r="N11" s="55"/>
      <c r="O11" s="12"/>
      <c r="Q11" s="55"/>
      <c r="R11" s="55"/>
      <c r="S11" s="73"/>
      <c r="U11" s="55"/>
      <c r="V11" s="55"/>
      <c r="W11" s="77"/>
      <c r="Y11" s="12"/>
    </row>
    <row r="12">
      <c r="A12" s="32" t="s">
        <v>795</v>
      </c>
      <c r="B12" s="33">
        <v>11898.0</v>
      </c>
      <c r="C12" s="33">
        <v>15033.0</v>
      </c>
      <c r="D12" s="33">
        <v>20005.0</v>
      </c>
      <c r="E12" s="33">
        <v>24870.0</v>
      </c>
      <c r="F12" s="33">
        <v>24143.0</v>
      </c>
      <c r="G12" s="33">
        <v>30976.0</v>
      </c>
      <c r="H12" s="33">
        <v>42840.0</v>
      </c>
      <c r="I12" s="33">
        <v>50789.0</v>
      </c>
      <c r="J12" s="33">
        <v>59358.0</v>
      </c>
      <c r="M12" s="77"/>
      <c r="N12" s="77"/>
      <c r="O12" s="77"/>
      <c r="P12" s="77"/>
      <c r="Q12" s="77"/>
      <c r="R12" s="77"/>
      <c r="S12" s="77"/>
      <c r="T12" s="77"/>
      <c r="U12" s="77"/>
    </row>
    <row r="13">
      <c r="A13" s="32" t="s">
        <v>940</v>
      </c>
      <c r="B13" s="12">
        <f t="shared" ref="B13:J13" si="3">B11/B12</f>
        <v>0.04025886704</v>
      </c>
      <c r="C13" s="12">
        <f t="shared" si="3"/>
        <v>0.0536153795</v>
      </c>
      <c r="D13" s="12">
        <f t="shared" si="3"/>
        <v>0.04508872782</v>
      </c>
      <c r="E13" s="12">
        <f t="shared" si="3"/>
        <v>0.05231202252</v>
      </c>
      <c r="F13" s="12">
        <f t="shared" si="3"/>
        <v>0.04552044071</v>
      </c>
      <c r="G13" s="12">
        <f t="shared" si="3"/>
        <v>0.04816632231</v>
      </c>
      <c r="H13" s="12">
        <f t="shared" si="3"/>
        <v>0.05550887021</v>
      </c>
      <c r="I13" s="12">
        <f t="shared" si="3"/>
        <v>0.04993207191</v>
      </c>
      <c r="J13" s="12">
        <f t="shared" si="3"/>
        <v>0.04560463627</v>
      </c>
    </row>
    <row r="14">
      <c r="M14" s="12"/>
      <c r="N14" s="12"/>
      <c r="O14" s="12"/>
      <c r="P14" s="12"/>
      <c r="Q14" s="12"/>
      <c r="R14" s="12"/>
      <c r="S14" s="12"/>
      <c r="T14" s="12"/>
      <c r="U14" s="12"/>
    </row>
    <row r="15">
      <c r="A15" s="32" t="s">
        <v>795</v>
      </c>
      <c r="B15" s="33">
        <v>11898.0</v>
      </c>
      <c r="C15" s="33">
        <v>15033.0</v>
      </c>
      <c r="D15" s="33">
        <v>20005.0</v>
      </c>
      <c r="E15" s="33">
        <v>24870.0</v>
      </c>
      <c r="F15" s="33">
        <v>24143.0</v>
      </c>
      <c r="G15" s="33">
        <v>30976.0</v>
      </c>
      <c r="H15" s="33">
        <v>42840.0</v>
      </c>
      <c r="I15" s="33">
        <v>50789.0</v>
      </c>
      <c r="J15" s="33">
        <v>59358.0</v>
      </c>
    </row>
    <row r="16">
      <c r="A16" s="32" t="s">
        <v>941</v>
      </c>
      <c r="B16" s="33">
        <f>(5822.51+3101.55)/2</f>
        <v>4462.03</v>
      </c>
      <c r="C16" s="33">
        <f>('Balance Sheet'!C19+'Balance Sheet'!B19)/2</f>
        <v>5715.91</v>
      </c>
      <c r="D16" s="33">
        <f>('Balance Sheet'!D19+'Balance Sheet'!C19)/2</f>
        <v>6309.095</v>
      </c>
      <c r="E16" s="33">
        <f>('Balance Sheet'!E19+'Balance Sheet'!D19)/2</f>
        <v>9541.085</v>
      </c>
      <c r="F16" s="33">
        <f>('Balance Sheet'!F19+'Balance Sheet'!E19)/2</f>
        <v>12866.21</v>
      </c>
      <c r="G16" s="33">
        <f>('Balance Sheet'!G19+'Balance Sheet'!F19)/2</f>
        <v>14564.305</v>
      </c>
      <c r="H16" s="33">
        <f>('Balance Sheet'!H19+'Balance Sheet'!G19)/2</f>
        <v>16789.465</v>
      </c>
      <c r="I16" s="33">
        <f>('Balance Sheet'!I19+'Balance Sheet'!H19)/2</f>
        <v>19641.745</v>
      </c>
      <c r="J16" s="33">
        <f>('Balance Sheet'!J19+'Balance Sheet'!I19)/2</f>
        <v>22748.745</v>
      </c>
    </row>
    <row r="17">
      <c r="A17" s="32" t="s">
        <v>942</v>
      </c>
      <c r="B17" s="73">
        <f t="shared" ref="B17:J17" si="4">B15/B16</f>
        <v>2.666499329</v>
      </c>
      <c r="C17" s="73">
        <f t="shared" si="4"/>
        <v>2.630027415</v>
      </c>
      <c r="D17" s="73">
        <f t="shared" si="4"/>
        <v>3.17081927</v>
      </c>
      <c r="E17" s="73">
        <f t="shared" si="4"/>
        <v>2.606621784</v>
      </c>
      <c r="F17" s="73">
        <f t="shared" si="4"/>
        <v>1.876465564</v>
      </c>
      <c r="G17" s="73">
        <f t="shared" si="4"/>
        <v>2.126843677</v>
      </c>
      <c r="H17" s="73">
        <f t="shared" si="4"/>
        <v>2.551600066</v>
      </c>
      <c r="I17" s="73">
        <f t="shared" si="4"/>
        <v>2.58576822</v>
      </c>
      <c r="J17" s="73">
        <f t="shared" si="4"/>
        <v>2.609286798</v>
      </c>
    </row>
    <row r="19">
      <c r="A19" s="32" t="s">
        <v>941</v>
      </c>
      <c r="B19" s="33">
        <f>(5822.51+3101.55)/2</f>
        <v>4462.03</v>
      </c>
      <c r="C19" s="33">
        <f>('Balance Sheet'!C22+'Balance Sheet'!B22)/2</f>
        <v>42977.5</v>
      </c>
      <c r="D19" s="33">
        <f>('Balance Sheet'!D22+'Balance Sheet'!C22)/2</f>
        <v>43342.5</v>
      </c>
      <c r="E19" s="33">
        <f>('Balance Sheet'!E22+'Balance Sheet'!D22)/2</f>
        <v>43708</v>
      </c>
      <c r="F19" s="33">
        <f>('Balance Sheet'!F22+'Balance Sheet'!E22)/2</f>
        <v>44073.5</v>
      </c>
      <c r="G19" s="33">
        <f>('Balance Sheet'!G22+'Balance Sheet'!F22)/2</f>
        <v>44438.5</v>
      </c>
      <c r="H19" s="33">
        <f>('Balance Sheet'!H22+'Balance Sheet'!G22)/2</f>
        <v>44803.5</v>
      </c>
      <c r="I19" s="33">
        <f>('Balance Sheet'!I22+'Balance Sheet'!H22)/2</f>
        <v>45169</v>
      </c>
      <c r="J19" s="33">
        <f>('Balance Sheet'!J22+'Balance Sheet'!I22)/2</f>
        <v>45534.5</v>
      </c>
    </row>
    <row r="20">
      <c r="A20" s="32" t="s">
        <v>938</v>
      </c>
      <c r="B20" s="33">
        <f>(624.08+3217.7+561.54+58.89)/2</f>
        <v>2231.105</v>
      </c>
      <c r="C20" s="33">
        <f t="shared" ref="C20:J20" si="5">(SUM(B18:B19)+SUM(C18:C19))/2</f>
        <v>23719.765</v>
      </c>
      <c r="D20" s="33">
        <f t="shared" si="5"/>
        <v>43160</v>
      </c>
      <c r="E20" s="33">
        <f t="shared" si="5"/>
        <v>43525.25</v>
      </c>
      <c r="F20" s="33">
        <f t="shared" si="5"/>
        <v>43890.75</v>
      </c>
      <c r="G20" s="33">
        <f t="shared" si="5"/>
        <v>44256</v>
      </c>
      <c r="H20" s="33">
        <f t="shared" si="5"/>
        <v>44621</v>
      </c>
      <c r="I20" s="33">
        <f t="shared" si="5"/>
        <v>44986.25</v>
      </c>
      <c r="J20" s="33">
        <f t="shared" si="5"/>
        <v>45351.75</v>
      </c>
    </row>
    <row r="21">
      <c r="A21" s="32" t="s">
        <v>943</v>
      </c>
      <c r="B21" s="58">
        <f t="shared" ref="B21:J21" si="6">B19/B20</f>
        <v>1.999919322</v>
      </c>
      <c r="C21" s="58">
        <f t="shared" si="6"/>
        <v>1.811885573</v>
      </c>
      <c r="D21" s="58">
        <f t="shared" si="6"/>
        <v>1.004228452</v>
      </c>
      <c r="E21" s="58">
        <f t="shared" si="6"/>
        <v>1.004198712</v>
      </c>
      <c r="F21" s="58">
        <f t="shared" si="6"/>
        <v>1.004163747</v>
      </c>
      <c r="G21" s="58">
        <f t="shared" si="6"/>
        <v>1.004123735</v>
      </c>
      <c r="H21" s="58">
        <f t="shared" si="6"/>
        <v>1.004090002</v>
      </c>
      <c r="I21" s="58">
        <f t="shared" si="6"/>
        <v>1.004062352</v>
      </c>
      <c r="J21" s="58">
        <f t="shared" si="6"/>
        <v>1.004029613</v>
      </c>
    </row>
    <row r="23">
      <c r="A23" s="32" t="s">
        <v>944</v>
      </c>
      <c r="B23" s="12">
        <f t="shared" ref="B23:J23" si="7">B13*B17*B21</f>
        <v>0.2146918231</v>
      </c>
      <c r="C23" s="12">
        <f t="shared" si="7"/>
        <v>0.255493836</v>
      </c>
      <c r="D23" s="12">
        <f t="shared" si="7"/>
        <v>0.1435727412</v>
      </c>
      <c r="E23" s="12">
        <f t="shared" si="7"/>
        <v>0.136930184</v>
      </c>
      <c r="F23" s="12">
        <f t="shared" si="7"/>
        <v>0.0857731965</v>
      </c>
      <c r="G23" s="12">
        <f t="shared" si="7"/>
        <v>0.1028646827</v>
      </c>
      <c r="H23" s="12">
        <f t="shared" si="7"/>
        <v>0.1422157303</v>
      </c>
      <c r="I23" s="12">
        <f t="shared" si="7"/>
        <v>0.1296372662</v>
      </c>
      <c r="J23" s="12">
        <f t="shared" si="7"/>
        <v>0.1194750815</v>
      </c>
    </row>
  </sheetData>
  <mergeCells count="2">
    <mergeCell ref="B1:J1"/>
    <mergeCell ref="B9:J9"/>
  </mergeCell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0"/>
  </cols>
  <sheetData>
    <row r="1">
      <c r="B1" s="54" t="s">
        <v>926</v>
      </c>
    </row>
    <row r="2">
      <c r="A2" s="32" t="s">
        <v>794</v>
      </c>
      <c r="B2" s="40">
        <v>42795.0</v>
      </c>
      <c r="C2" s="40">
        <v>43160.0</v>
      </c>
      <c r="D2" s="40">
        <v>43525.0</v>
      </c>
      <c r="E2" s="41">
        <v>43891.0</v>
      </c>
      <c r="F2" s="41">
        <v>44256.0</v>
      </c>
      <c r="G2" s="41">
        <v>44621.0</v>
      </c>
      <c r="H2" s="41">
        <v>44986.0</v>
      </c>
      <c r="I2" s="41">
        <v>45352.0</v>
      </c>
      <c r="J2" s="42">
        <v>45717.0</v>
      </c>
    </row>
    <row r="3">
      <c r="A3" s="32" t="s">
        <v>818</v>
      </c>
      <c r="B3" s="33">
        <f>'Yearly Snapshot'!B5-'Yearly Snapshot'!B7</f>
        <v>841</v>
      </c>
      <c r="C3" s="33">
        <f>'Yearly Snapshot'!C5-'Yearly Snapshot'!C7</f>
        <v>1194</v>
      </c>
      <c r="D3" s="33">
        <f>'Yearly Snapshot'!D5-'Yearly Snapshot'!D7</f>
        <v>1422</v>
      </c>
      <c r="E3" s="33">
        <f>'Yearly Snapshot'!E5-'Yearly Snapshot'!E7</f>
        <v>1754</v>
      </c>
      <c r="F3" s="33">
        <f>'Yearly Snapshot'!F5-'Yearly Snapshot'!F7</f>
        <v>1331</v>
      </c>
      <c r="G3" s="33">
        <f>'Yearly Snapshot'!G5-'Yearly Snapshot'!G7</f>
        <v>2004</v>
      </c>
      <c r="H3" s="33">
        <f>'Yearly Snapshot'!H5-'Yearly Snapshot'!H7</f>
        <v>3000</v>
      </c>
      <c r="I3" s="33">
        <f>'Yearly Snapshot'!I5-'Yearly Snapshot'!I7</f>
        <v>3375</v>
      </c>
      <c r="J3" s="33">
        <f>'Yearly Snapshot'!J5-'Yearly Snapshot'!J7</f>
        <v>3624</v>
      </c>
    </row>
    <row r="4">
      <c r="A4" s="32" t="s">
        <v>864</v>
      </c>
      <c r="B4" s="33">
        <f>'Balance Sheet'!B19-'Balance Sheet'!M7</f>
        <v>4875</v>
      </c>
      <c r="C4" s="33">
        <f>'Balance Sheet'!C19-'Balance Sheet'!N7</f>
        <v>4926.52</v>
      </c>
      <c r="D4" s="33">
        <f>'Balance Sheet'!D19-'Balance Sheet'!O7</f>
        <v>5778.8</v>
      </c>
      <c r="E4" s="33">
        <f>'Balance Sheet'!E19-'Balance Sheet'!P7</f>
        <v>11350.65</v>
      </c>
      <c r="F4" s="33">
        <f>'Balance Sheet'!F19-'Balance Sheet'!Q7</f>
        <v>12550.2</v>
      </c>
      <c r="G4" s="33">
        <f>'Balance Sheet'!G19-'Balance Sheet'!R7</f>
        <v>14254.35</v>
      </c>
      <c r="H4" s="33">
        <f>'Balance Sheet'!H19-'Balance Sheet'!S7</f>
        <v>16639.28</v>
      </c>
      <c r="I4" s="33">
        <f>'Balance Sheet'!I19-'Balance Sheet'!T7</f>
        <v>19198.06</v>
      </c>
      <c r="J4" s="33">
        <f>'Balance Sheet'!J19-'Balance Sheet'!U7</f>
        <v>22108.13</v>
      </c>
    </row>
    <row r="5">
      <c r="A5" s="32" t="s">
        <v>926</v>
      </c>
      <c r="B5" s="52">
        <f t="shared" ref="B5:J5" si="1">B3/B4</f>
        <v>0.1725128205</v>
      </c>
      <c r="C5" s="52">
        <f t="shared" si="1"/>
        <v>0.2423617483</v>
      </c>
      <c r="D5" s="52">
        <f t="shared" si="1"/>
        <v>0.2460718488</v>
      </c>
      <c r="E5" s="52">
        <f t="shared" si="1"/>
        <v>0.1545285953</v>
      </c>
      <c r="F5" s="52">
        <f t="shared" si="1"/>
        <v>0.1060540868</v>
      </c>
      <c r="G5" s="52">
        <f t="shared" si="1"/>
        <v>0.1405886624</v>
      </c>
      <c r="H5" s="52">
        <f t="shared" si="1"/>
        <v>0.1802962628</v>
      </c>
      <c r="I5" s="52">
        <f t="shared" si="1"/>
        <v>0.175799013</v>
      </c>
      <c r="J5" s="52">
        <f t="shared" si="1"/>
        <v>0.1639215981</v>
      </c>
    </row>
    <row r="6">
      <c r="B6" s="33"/>
      <c r="C6" s="33"/>
      <c r="D6" s="33"/>
      <c r="E6" s="33"/>
      <c r="F6" s="33"/>
      <c r="G6" s="33"/>
      <c r="H6" s="33"/>
      <c r="I6" s="33"/>
      <c r="J6" s="33"/>
    </row>
    <row r="7">
      <c r="B7" s="87" t="s">
        <v>945</v>
      </c>
    </row>
    <row r="8">
      <c r="A8" s="32" t="s">
        <v>794</v>
      </c>
      <c r="B8" s="40">
        <v>42795.0</v>
      </c>
      <c r="C8" s="40">
        <v>43160.0</v>
      </c>
      <c r="D8" s="40">
        <v>43525.0</v>
      </c>
      <c r="E8" s="41">
        <v>43891.0</v>
      </c>
      <c r="F8" s="41">
        <v>44256.0</v>
      </c>
      <c r="G8" s="41">
        <v>44621.0</v>
      </c>
      <c r="H8" s="41">
        <v>44986.0</v>
      </c>
      <c r="I8" s="41">
        <v>45352.0</v>
      </c>
      <c r="J8" s="42">
        <v>45717.0</v>
      </c>
    </row>
    <row r="9">
      <c r="A9" s="32" t="s">
        <v>795</v>
      </c>
      <c r="B9" s="33">
        <v>11898.0</v>
      </c>
      <c r="C9" s="33">
        <v>15033.0</v>
      </c>
      <c r="D9" s="33">
        <v>20005.0</v>
      </c>
      <c r="E9" s="33">
        <v>24870.0</v>
      </c>
      <c r="F9" s="33">
        <v>24143.0</v>
      </c>
      <c r="G9" s="33">
        <v>30976.0</v>
      </c>
      <c r="H9" s="33">
        <v>42840.0</v>
      </c>
      <c r="I9" s="33">
        <v>50789.0</v>
      </c>
      <c r="J9" s="33">
        <v>59358.0</v>
      </c>
    </row>
    <row r="10">
      <c r="A10" s="32" t="s">
        <v>818</v>
      </c>
      <c r="B10" s="33">
        <f>'Yearly Snapshot'!B5-'Yearly Snapshot'!B7</f>
        <v>841</v>
      </c>
      <c r="C10" s="33">
        <f>'Yearly Snapshot'!C5-'Yearly Snapshot'!C7</f>
        <v>1194</v>
      </c>
      <c r="D10" s="33">
        <f>'Yearly Snapshot'!D5-'Yearly Snapshot'!D7</f>
        <v>1422</v>
      </c>
      <c r="E10" s="33">
        <f>'Yearly Snapshot'!E5-'Yearly Snapshot'!E7</f>
        <v>1754</v>
      </c>
      <c r="F10" s="33">
        <f>'Yearly Snapshot'!F5-'Yearly Snapshot'!F7</f>
        <v>1331</v>
      </c>
      <c r="G10" s="33">
        <f>'Yearly Snapshot'!G5-'Yearly Snapshot'!G7</f>
        <v>2004</v>
      </c>
      <c r="H10" s="33">
        <f>'Yearly Snapshot'!H5-'Yearly Snapshot'!H7</f>
        <v>3000</v>
      </c>
      <c r="I10" s="33">
        <f>'Yearly Snapshot'!I5-'Yearly Snapshot'!I7</f>
        <v>3375</v>
      </c>
      <c r="J10" s="33">
        <f>'Yearly Snapshot'!J5-'Yearly Snapshot'!J7</f>
        <v>3624</v>
      </c>
    </row>
    <row r="11">
      <c r="A11" s="32" t="s">
        <v>946</v>
      </c>
      <c r="B11" s="52">
        <f t="shared" ref="B11:J11" si="2">B10/B9</f>
        <v>0.0706841486</v>
      </c>
      <c r="C11" s="52">
        <f t="shared" si="2"/>
        <v>0.07942526442</v>
      </c>
      <c r="D11" s="52">
        <f t="shared" si="2"/>
        <v>0.07108222944</v>
      </c>
      <c r="E11" s="52">
        <f t="shared" si="2"/>
        <v>0.07052673904</v>
      </c>
      <c r="F11" s="52">
        <f t="shared" si="2"/>
        <v>0.0551298513</v>
      </c>
      <c r="G11" s="52">
        <f t="shared" si="2"/>
        <v>0.06469524793</v>
      </c>
      <c r="H11" s="52">
        <f t="shared" si="2"/>
        <v>0.0700280112</v>
      </c>
      <c r="I11" s="52">
        <f t="shared" si="2"/>
        <v>0.06645139696</v>
      </c>
      <c r="J11" s="52">
        <f t="shared" si="2"/>
        <v>0.06105326999</v>
      </c>
    </row>
    <row r="13">
      <c r="A13" s="32" t="s">
        <v>795</v>
      </c>
      <c r="B13" s="33">
        <v>11898.0</v>
      </c>
      <c r="C13" s="33">
        <v>15033.0</v>
      </c>
      <c r="D13" s="33">
        <v>20005.0</v>
      </c>
      <c r="E13" s="33">
        <v>24870.0</v>
      </c>
      <c r="F13" s="33">
        <v>24143.0</v>
      </c>
      <c r="G13" s="33">
        <v>30976.0</v>
      </c>
      <c r="H13" s="33">
        <v>42840.0</v>
      </c>
      <c r="I13" s="33">
        <v>50789.0</v>
      </c>
      <c r="J13" s="33">
        <v>59358.0</v>
      </c>
    </row>
    <row r="14">
      <c r="A14" s="32" t="s">
        <v>864</v>
      </c>
      <c r="B14" s="33">
        <f>'Balance Sheet'!B19-'Balance Sheet'!M7</f>
        <v>4875</v>
      </c>
      <c r="C14" s="33">
        <f>'Balance Sheet'!C19-'Balance Sheet'!N7</f>
        <v>4926.52</v>
      </c>
      <c r="D14" s="33">
        <f>'Balance Sheet'!D19-'Balance Sheet'!O7</f>
        <v>5778.8</v>
      </c>
      <c r="E14" s="33">
        <f>'Balance Sheet'!E19-'Balance Sheet'!P7</f>
        <v>11350.65</v>
      </c>
      <c r="F14" s="33">
        <f>'Balance Sheet'!F19-'Balance Sheet'!Q7</f>
        <v>12550.2</v>
      </c>
      <c r="G14" s="33">
        <f>'Balance Sheet'!G19-'Balance Sheet'!R7</f>
        <v>14254.35</v>
      </c>
      <c r="H14" s="33">
        <f>'Balance Sheet'!H19-'Balance Sheet'!S7</f>
        <v>16639.28</v>
      </c>
      <c r="I14" s="33">
        <f>'Balance Sheet'!I19-'Balance Sheet'!T7</f>
        <v>19198.06</v>
      </c>
      <c r="J14" s="33">
        <f>'Balance Sheet'!J19-'Balance Sheet'!U7</f>
        <v>22108.13</v>
      </c>
    </row>
    <row r="15">
      <c r="A15" s="32" t="s">
        <v>947</v>
      </c>
      <c r="B15" s="73">
        <f t="shared" ref="B15:J15" si="3">B13/B14</f>
        <v>2.440615385</v>
      </c>
      <c r="C15" s="73">
        <f t="shared" si="3"/>
        <v>3.051444021</v>
      </c>
      <c r="D15" s="73">
        <f t="shared" si="3"/>
        <v>3.461791375</v>
      </c>
      <c r="E15" s="73">
        <f t="shared" si="3"/>
        <v>2.191063948</v>
      </c>
      <c r="F15" s="73">
        <f t="shared" si="3"/>
        <v>1.923714363</v>
      </c>
      <c r="G15" s="73">
        <f t="shared" si="3"/>
        <v>2.173091021</v>
      </c>
      <c r="H15" s="73">
        <f t="shared" si="3"/>
        <v>2.574630633</v>
      </c>
      <c r="I15" s="73">
        <f t="shared" si="3"/>
        <v>2.645527725</v>
      </c>
      <c r="J15" s="73">
        <f t="shared" si="3"/>
        <v>2.684894652</v>
      </c>
    </row>
    <row r="17">
      <c r="A17" s="32" t="s">
        <v>948</v>
      </c>
      <c r="B17" s="12">
        <f t="shared" ref="B17:J17" si="4">B15*B11</f>
        <v>0.1725128205</v>
      </c>
      <c r="C17" s="12">
        <f t="shared" si="4"/>
        <v>0.2423617483</v>
      </c>
      <c r="D17" s="12">
        <f t="shared" si="4"/>
        <v>0.2460718488</v>
      </c>
      <c r="E17" s="12">
        <f t="shared" si="4"/>
        <v>0.1545285953</v>
      </c>
      <c r="F17" s="12">
        <f t="shared" si="4"/>
        <v>0.1060540868</v>
      </c>
      <c r="G17" s="12">
        <f t="shared" si="4"/>
        <v>0.1405886624</v>
      </c>
      <c r="H17" s="12">
        <f t="shared" si="4"/>
        <v>0.1802962628</v>
      </c>
      <c r="I17" s="12">
        <f t="shared" si="4"/>
        <v>0.175799013</v>
      </c>
      <c r="J17" s="12">
        <f t="shared" si="4"/>
        <v>0.1639215981</v>
      </c>
    </row>
  </sheetData>
  <mergeCells count="2">
    <mergeCell ref="B1:J1"/>
    <mergeCell ref="B7:J7"/>
  </mergeCells>
  <drawing r:id="rId1"/>
</worksheet>
</file>